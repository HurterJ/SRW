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urter\Desktop\"/>
    </mc:Choice>
  </mc:AlternateContent>
  <xr:revisionPtr revIDLastSave="0" documentId="13_ncr:1_{3E2CCCC0-1DD2-4950-B594-31F3B4ACF0F5}" xr6:coauthVersionLast="47" xr6:coauthVersionMax="47" xr10:uidLastSave="{00000000-0000-0000-0000-000000000000}"/>
  <bookViews>
    <workbookView xWindow="-38520" yWindow="-165" windowWidth="38640" windowHeight="21120" tabRatio="939" activeTab="1" xr2:uid="{00000000-000D-0000-FFFF-FFFF00000000}"/>
  </bookViews>
  <sheets>
    <sheet name="Chantier" sheetId="87" r:id="rId1"/>
    <sheet name="Mars" sheetId="89" r:id="rId2"/>
  </sheets>
  <definedNames>
    <definedName name="A180000000">#REF!</definedName>
    <definedName name="A1999999">#REF!</definedName>
    <definedName name="A9999999">#REF!</definedName>
    <definedName name="A99999999">#REF!</definedName>
    <definedName name="A999999999">#REF!</definedName>
    <definedName name="A999999999999999">#REF!</definedName>
    <definedName name="_xlnm.Print_Area" localSheetId="1">Mars!$B$2:$AA$49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89" l="1"/>
  <c r="E46" i="89"/>
  <c r="C46" i="89"/>
  <c r="E45" i="89"/>
  <c r="C45" i="89"/>
  <c r="C44" i="89"/>
  <c r="E43" i="89"/>
  <c r="C43" i="89"/>
  <c r="E42" i="89"/>
  <c r="C42" i="89"/>
  <c r="E41" i="89"/>
  <c r="C41" i="89"/>
  <c r="E47" i="89"/>
  <c r="R39" i="89" a="1"/>
  <c r="R39" i="89" s="1"/>
  <c r="N38" i="89"/>
  <c r="M38" i="89"/>
  <c r="N37" i="89"/>
  <c r="M37" i="89"/>
  <c r="N36" i="89"/>
  <c r="M36" i="89"/>
  <c r="O36" i="89" s="1"/>
  <c r="N35" i="89"/>
  <c r="M35" i="89"/>
  <c r="N34" i="89"/>
  <c r="M34" i="89"/>
  <c r="N33" i="89"/>
  <c r="M33" i="89"/>
  <c r="N32" i="89"/>
  <c r="M32" i="89"/>
  <c r="N31" i="89"/>
  <c r="M31" i="89"/>
  <c r="N30" i="89"/>
  <c r="M30" i="89"/>
  <c r="N29" i="89"/>
  <c r="M29" i="89"/>
  <c r="N28" i="89"/>
  <c r="M28" i="89"/>
  <c r="N27" i="89"/>
  <c r="M27" i="89"/>
  <c r="N26" i="89"/>
  <c r="M26" i="89"/>
  <c r="N25" i="89"/>
  <c r="M25" i="89"/>
  <c r="N24" i="89"/>
  <c r="M24" i="89"/>
  <c r="N23" i="89"/>
  <c r="M23" i="89"/>
  <c r="N22" i="89"/>
  <c r="M22" i="89"/>
  <c r="N21" i="89"/>
  <c r="M21" i="89"/>
  <c r="N20" i="89"/>
  <c r="M20" i="89"/>
  <c r="N19" i="89"/>
  <c r="M19" i="89"/>
  <c r="N18" i="89"/>
  <c r="M18" i="89"/>
  <c r="N17" i="89"/>
  <c r="M17" i="89"/>
  <c r="N16" i="89"/>
  <c r="M16" i="89"/>
  <c r="N15" i="89"/>
  <c r="M15" i="89"/>
  <c r="N14" i="89"/>
  <c r="M14" i="89"/>
  <c r="N13" i="89"/>
  <c r="M13" i="89"/>
  <c r="N12" i="89"/>
  <c r="M12" i="89"/>
  <c r="O12" i="89" s="1"/>
  <c r="N11" i="89"/>
  <c r="M11" i="89"/>
  <c r="N10" i="89"/>
  <c r="M10" i="89"/>
  <c r="N9" i="89"/>
  <c r="M9" i="89"/>
  <c r="N8" i="89"/>
  <c r="M8" i="89"/>
  <c r="N7" i="89"/>
  <c r="M7" i="89"/>
  <c r="N6" i="89"/>
  <c r="M6" i="89"/>
  <c r="C6" i="89"/>
  <c r="C7" i="89" s="1"/>
  <c r="C8" i="89" s="1"/>
  <c r="C9" i="89" s="1"/>
  <c r="C10" i="89" s="1"/>
  <c r="C11" i="89" s="1"/>
  <c r="C12" i="89" s="1"/>
  <c r="C13" i="89" s="1"/>
  <c r="C14" i="89" s="1"/>
  <c r="C15" i="89" s="1"/>
  <c r="C16" i="89" s="1"/>
  <c r="C17" i="89" s="1"/>
  <c r="C18" i="89" s="1"/>
  <c r="C19" i="89" s="1"/>
  <c r="C20" i="89" s="1"/>
  <c r="C21" i="89" s="1"/>
  <c r="C22" i="89" s="1"/>
  <c r="C23" i="89" s="1"/>
  <c r="C24" i="89" s="1"/>
  <c r="C25" i="89" s="1"/>
  <c r="C26" i="89" s="1"/>
  <c r="C27" i="89" s="1"/>
  <c r="C28" i="89" s="1"/>
  <c r="C29" i="89" s="1"/>
  <c r="C30" i="89" s="1"/>
  <c r="C31" i="89" s="1"/>
  <c r="C32" i="89" s="1"/>
  <c r="C33" i="89" s="1"/>
  <c r="C34" i="89" s="1"/>
  <c r="C35" i="89" s="1"/>
  <c r="C36" i="89" s="1"/>
  <c r="C37" i="89" s="1"/>
  <c r="C38" i="89" s="1"/>
  <c r="E2" i="89"/>
  <c r="D2" i="89"/>
  <c r="O38" i="89" l="1"/>
  <c r="O37" i="89"/>
  <c r="O32" i="89"/>
  <c r="O34" i="89"/>
  <c r="O11" i="89"/>
  <c r="O25" i="89"/>
  <c r="O26" i="89"/>
  <c r="O18" i="89"/>
  <c r="O19" i="89"/>
  <c r="O33" i="89"/>
  <c r="O35" i="89"/>
  <c r="O31" i="89"/>
  <c r="O24" i="89"/>
  <c r="O23" i="89"/>
  <c r="O27" i="89"/>
  <c r="O28" i="89"/>
  <c r="O29" i="89"/>
  <c r="O30" i="89"/>
  <c r="O22" i="89"/>
  <c r="O21" i="89"/>
  <c r="E48" i="89"/>
  <c r="O20" i="89"/>
  <c r="O17" i="89"/>
  <c r="O16" i="89"/>
  <c r="O14" i="89"/>
  <c r="O13" i="89"/>
  <c r="O15" i="89"/>
  <c r="O10" i="89"/>
  <c r="O9" i="89"/>
  <c r="O8" i="89"/>
  <c r="O7" i="89"/>
  <c r="O6" i="89"/>
  <c r="Q6" i="89" s="1"/>
  <c r="O39" i="89" l="1"/>
  <c r="F48" i="89" s="1"/>
  <c r="Q7" i="89"/>
  <c r="Q8" i="89" s="1"/>
  <c r="Q9" i="89" s="1"/>
  <c r="Q10" i="89" s="1"/>
  <c r="Q11" i="89" s="1"/>
  <c r="Q12" i="89" s="1"/>
  <c r="Q13" i="89" s="1"/>
  <c r="Q14" i="89" s="1"/>
  <c r="Q15" i="89" s="1"/>
  <c r="Q16" i="89" s="1"/>
  <c r="Q17" i="89" s="1"/>
  <c r="Q18" i="89" s="1"/>
  <c r="Q19" i="89" s="1"/>
  <c r="Q20" i="89" s="1"/>
  <c r="Q21" i="89" s="1"/>
  <c r="Q22" i="89" s="1"/>
  <c r="Q23" i="89" s="1"/>
  <c r="Q24" i="89" s="1"/>
  <c r="Q25" i="89" s="1"/>
  <c r="Q26" i="89" s="1"/>
  <c r="Q27" i="89" s="1"/>
  <c r="Q28" i="89" s="1"/>
  <c r="Q29" i="89" s="1"/>
  <c r="Q30" i="89" s="1"/>
  <c r="Q31" i="89" s="1"/>
  <c r="Q32" i="89" s="1"/>
  <c r="Q33" i="89" s="1"/>
  <c r="Q34" i="89" s="1"/>
  <c r="Q35" i="89" s="1"/>
  <c r="Q36" i="89" s="1"/>
  <c r="Q37" i="89" s="1"/>
  <c r="Q38" i="8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<sst xmlns="http://schemas.openxmlformats.org/spreadsheetml/2006/main" count="71" uniqueCount="37">
  <si>
    <t>03607A39</t>
  </si>
  <si>
    <t>CTA</t>
  </si>
  <si>
    <t>03607A42</t>
  </si>
  <si>
    <t>P41</t>
  </si>
  <si>
    <t>22910A01</t>
  </si>
  <si>
    <t>P47</t>
  </si>
  <si>
    <t>24975A01</t>
  </si>
  <si>
    <t>PLO</t>
  </si>
  <si>
    <t>20834A02</t>
  </si>
  <si>
    <t>SCII</t>
  </si>
  <si>
    <t>22923A01</t>
  </si>
  <si>
    <t>BW</t>
  </si>
  <si>
    <t>12397A01</t>
  </si>
  <si>
    <t>GS CA</t>
  </si>
  <si>
    <t>Date:</t>
  </si>
  <si>
    <t>Matin</t>
  </si>
  <si>
    <t>Après midi</t>
  </si>
  <si>
    <t>Total</t>
  </si>
  <si>
    <t>Jour</t>
  </si>
  <si>
    <t>hh</t>
  </si>
  <si>
    <t>mm</t>
  </si>
  <si>
    <t xml:space="preserve">journée </t>
  </si>
  <si>
    <t>Du</t>
  </si>
  <si>
    <t>Sup.</t>
  </si>
  <si>
    <t>Chantiers</t>
  </si>
  <si>
    <t>Remarques</t>
  </si>
  <si>
    <t>lundi</t>
  </si>
  <si>
    <t>mardi</t>
  </si>
  <si>
    <t>mercredi</t>
  </si>
  <si>
    <t>jeudi</t>
  </si>
  <si>
    <t>vendredi</t>
  </si>
  <si>
    <t>samedi</t>
  </si>
  <si>
    <t>dimanche</t>
  </si>
  <si>
    <t>N° Chantier</t>
  </si>
  <si>
    <t>Chantier</t>
  </si>
  <si>
    <t>Vacances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</si>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</sst>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6" formatCode="[$-F800]dddd\,\ mmmm\ dd\,\ yyyy"/>
  </numFmts>
  <fonts count="6" x14ac:knownFonts="1">
    <font>
      <sz val="11"/>
      <color theme="1"/>
      <name val="Tw Cen MT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Arial"/>
      <family val="2"/>
    </font>
    <font>
      <sz val="10"/>
      <color theme="1"/>
      <name val="Tw Cen MT"/>
      <family val="2"/>
      <scheme val="minor"/>
    </font>
    <font>
      <sz val="9"/>
      <color theme="1"/>
      <name val="Tw Cen MT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</fills>
  <borders count="5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auto="1"/>
      </bottom>
      <diagonal/>
    </border>
    <border>
      <left/>
      <right style="double">
        <color indexed="64"/>
      </right>
      <top/>
      <bottom style="hair">
        <color auto="1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/>
      <right/>
      <top style="hair">
        <color indexed="64"/>
      </top>
      <bottom style="thin">
        <color auto="1"/>
      </bottom>
      <diagonal/>
    </border>
    <border>
      <left/>
      <right style="thin">
        <color auto="1"/>
      </right>
      <top style="hair">
        <color indexed="64"/>
      </top>
      <bottom style="thin">
        <color auto="1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9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11" xfId="0" applyBorder="1"/>
    <xf numFmtId="16" fontId="1" fillId="0" borderId="23" xfId="0" applyNumberFormat="1" applyFont="1" applyBorder="1" applyAlignment="1" applyProtection="1">
      <alignment horizontal="center"/>
      <protection locked="0"/>
    </xf>
    <xf numFmtId="0" fontId="2" fillId="0" borderId="24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16" fontId="1" fillId="0" borderId="15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Border="1"/>
    <xf numFmtId="16" fontId="1" fillId="0" borderId="16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9" xfId="0" applyBorder="1" applyAlignment="1">
      <alignment horizontal="center"/>
    </xf>
    <xf numFmtId="0" fontId="4" fillId="0" borderId="40" xfId="0" applyFont="1" applyBorder="1"/>
    <xf numFmtId="0" fontId="0" fillId="0" borderId="41" xfId="0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3" borderId="1" xfId="0" applyFont="1" applyFill="1" applyBorder="1"/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/>
    <xf numFmtId="0" fontId="0" fillId="4" borderId="9" xfId="0" applyFill="1" applyBorder="1"/>
    <xf numFmtId="0" fontId="0" fillId="4" borderId="0" xfId="0" applyFill="1"/>
    <xf numFmtId="0" fontId="0" fillId="4" borderId="11" xfId="0" applyFill="1" applyBorder="1"/>
    <xf numFmtId="0" fontId="0" fillId="4" borderId="0" xfId="0" applyFill="1" applyAlignment="1">
      <alignment horizontal="center"/>
    </xf>
    <xf numFmtId="0" fontId="0" fillId="4" borderId="20" xfId="0" applyFill="1" applyBorder="1"/>
    <xf numFmtId="166" fontId="0" fillId="4" borderId="20" xfId="0" applyNumberFormat="1" applyFill="1" applyBorder="1"/>
    <xf numFmtId="0" fontId="2" fillId="4" borderId="0" xfId="0" applyFont="1" applyFill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5" xfId="0" applyFill="1" applyBorder="1"/>
    <xf numFmtId="0" fontId="0" fillId="4" borderId="11" xfId="0" applyFill="1" applyBorder="1" applyAlignment="1">
      <alignment horizontal="center"/>
    </xf>
    <xf numFmtId="0" fontId="0" fillId="4" borderId="10" xfId="0" applyFill="1" applyBorder="1"/>
    <xf numFmtId="0" fontId="4" fillId="4" borderId="0" xfId="0" applyFont="1" applyFill="1"/>
    <xf numFmtId="0" fontId="0" fillId="4" borderId="21" xfId="0" applyFill="1" applyBorder="1"/>
    <xf numFmtId="0" fontId="2" fillId="4" borderId="11" xfId="0" applyFont="1" applyFill="1" applyBorder="1" applyAlignment="1">
      <alignment horizontal="center"/>
    </xf>
    <xf numFmtId="0" fontId="4" fillId="3" borderId="44" xfId="0" applyFont="1" applyFill="1" applyBorder="1"/>
    <xf numFmtId="0" fontId="4" fillId="3" borderId="45" xfId="0" applyFont="1" applyFill="1" applyBorder="1" applyAlignment="1">
      <alignment horizontal="center"/>
    </xf>
    <xf numFmtId="0" fontId="0" fillId="4" borderId="18" xfId="0" applyFill="1" applyBorder="1"/>
    <xf numFmtId="0" fontId="0" fillId="4" borderId="19" xfId="0" applyFill="1" applyBorder="1"/>
    <xf numFmtId="0" fontId="0" fillId="4" borderId="17" xfId="0" applyFill="1" applyBorder="1"/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8" xfId="0" applyBorder="1"/>
    <xf numFmtId="0" fontId="0" fillId="0" borderId="49" xfId="0" applyBorder="1"/>
    <xf numFmtId="0" fontId="0" fillId="0" borderId="30" xfId="0" applyBorder="1"/>
    <xf numFmtId="0" fontId="0" fillId="0" borderId="29" xfId="0" applyBorder="1"/>
    <xf numFmtId="0" fontId="0" fillId="0" borderId="50" xfId="0" applyBorder="1"/>
    <xf numFmtId="0" fontId="0" fillId="0" borderId="51" xfId="0" applyBorder="1"/>
    <xf numFmtId="0" fontId="0" fillId="0" borderId="51" xfId="0" applyBorder="1" applyAlignment="1">
      <alignment horizontal="center"/>
    </xf>
    <xf numFmtId="0" fontId="0" fillId="0" borderId="52" xfId="0" applyBorder="1"/>
    <xf numFmtId="16" fontId="3" fillId="0" borderId="53" xfId="0" applyNumberFormat="1" applyFont="1" applyBorder="1" applyAlignment="1">
      <alignment horizontal="center"/>
    </xf>
    <xf numFmtId="16" fontId="1" fillId="0" borderId="55" xfId="0" applyNumberFormat="1" applyFont="1" applyBorder="1" applyAlignment="1" applyProtection="1">
      <alignment horizontal="center"/>
      <protection locked="0"/>
    </xf>
    <xf numFmtId="0" fontId="0" fillId="0" borderId="57" xfId="0" applyBorder="1" applyAlignment="1">
      <alignment horizontal="center"/>
    </xf>
    <xf numFmtId="0" fontId="4" fillId="0" borderId="42" xfId="0" applyFont="1" applyBorder="1" applyAlignment="1">
      <alignment horizontal="left"/>
    </xf>
    <xf numFmtId="2" fontId="0" fillId="0" borderId="43" xfId="0" applyNumberFormat="1" applyBorder="1" applyAlignment="1">
      <alignment horizontal="center"/>
    </xf>
    <xf numFmtId="2" fontId="5" fillId="2" borderId="46" xfId="0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4" borderId="56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7" xfId="0" applyBorder="1" applyAlignment="1">
      <alignment horizontal="center"/>
    </xf>
    <xf numFmtId="164" fontId="1" fillId="0" borderId="53" xfId="0" applyNumberFormat="1" applyFont="1" applyBorder="1" applyAlignment="1">
      <alignment horizontal="center"/>
    </xf>
    <xf numFmtId="164" fontId="1" fillId="0" borderId="54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</cellXfs>
  <cellStyles count="1">
    <cellStyle name="Normal" xfId="0" builtinId="0"/>
  </cellStyles>
  <dxfs count="8">
    <dxf>
      <font>
        <color rgb="FF92D050"/>
      </font>
    </dxf>
    <dxf>
      <font>
        <color rgb="FFC00000"/>
      </font>
    </dxf>
    <dxf>
      <font>
        <color rgb="FFC00000"/>
      </font>
      <fill>
        <patternFill patternType="solid">
          <fgColor auto="1"/>
          <bgColor theme="6"/>
        </patternFill>
      </fill>
    </dxf>
    <dxf>
      <font>
        <color rgb="FF92D050"/>
      </font>
      <fill>
        <patternFill patternType="solid">
          <bgColor theme="6"/>
        </patternFill>
      </fill>
    </dxf>
    <dxf>
      <fill>
        <patternFill>
          <bgColor theme="2" tint="-9.9948118533890809E-2"/>
        </patternFill>
      </fill>
    </dxf>
    <dxf>
      <fill>
        <patternFill patternType="darkUp">
          <bgColor theme="0" tint="-0.149937437055574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E07C7C"/>
      <color rgb="FFB979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égral">
  <a:themeElements>
    <a:clrScheme name="Nuances de gris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Inté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é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>
    <a:spDef>
      <a:spPr>
        <a:solidFill>
          <a:schemeClr val="bg2">
            <a:lumMod val="90000"/>
          </a:schemeClr>
        </a:solidFill>
        <a:ln w="15875" cap="flat" cmpd="sng" algn="ctr">
          <a:solidFill>
            <a:schemeClr val="accent1">
              <a:shade val="15000"/>
            </a:schemeClr>
          </a:solidFill>
          <a:prstDash val="solid"/>
        </a:ln>
        <a:effectLst/>
      </a:spPr>
      <a:bodyPr vertOverflow="clip" horzOverflow="clip" rtlCol="0" anchor="ctr"/>
      <a:lstStyle>
        <a:defPPr algn="ctr">
          <a:defRPr sz="800">
            <a:solidFill>
              <a:sysClr val="windowText" lastClr="000000"/>
            </a:solidFill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02F1-FC1B-4665-88AB-EE4D92CFE96F}">
  <dimension ref="A1:B7"/>
  <sheetViews>
    <sheetView zoomScale="265" zoomScaleNormal="265" workbookViewId="0">
      <selection activeCell="B11" sqref="B11"/>
    </sheetView>
  </sheetViews>
  <sheetFormatPr baseColWidth="10" defaultColWidth="11"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5FA39-DCC0-4AE5-B286-94067D14CB23}">
  <sheetPr>
    <pageSetUpPr fitToPage="1"/>
  </sheetPr>
  <dimension ref="B1:AA214"/>
  <sheetViews>
    <sheetView showGridLines="0" showZeros="0" tabSelected="1" view="pageBreakPreview" zoomScale="130" zoomScaleNormal="130" zoomScaleSheetLayoutView="130" zoomScalePageLayoutView="85" workbookViewId="0">
      <selection activeCell="C3" sqref="C3"/>
    </sheetView>
  </sheetViews>
  <sheetFormatPr baseColWidth="10" defaultColWidth="10.875" defaultRowHeight="14.25" x14ac:dyDescent="0.2"/>
  <cols>
    <col min="1" max="1" width="11" customWidth="1"/>
    <col min="2" max="2" width="2.625" customWidth="1"/>
    <col min="3" max="3" width="8.875" customWidth="1"/>
    <col min="4" max="4" width="11" customWidth="1"/>
    <col min="5" max="12" width="5.5" customWidth="1"/>
    <col min="13" max="15" width="8.125" customWidth="1"/>
    <col min="16" max="16" width="5.5" customWidth="1"/>
    <col min="17" max="17" width="8.125" customWidth="1"/>
    <col min="18" max="18" width="5.5" customWidth="1"/>
    <col min="19" max="19" width="5.125" style="1" customWidth="1"/>
    <col min="20" max="20" width="5.5" customWidth="1"/>
    <col min="21" max="21" width="5.125" style="1" customWidth="1"/>
    <col min="22" max="22" width="5.5" customWidth="1"/>
    <col min="23" max="23" width="5.125" style="1" customWidth="1"/>
    <col min="27" max="27" width="2.625" customWidth="1"/>
  </cols>
  <sheetData>
    <row r="1" spans="2:27" ht="15" thickBot="1" x14ac:dyDescent="0.25">
      <c r="C1" s="3" t="s">
        <v>14</v>
      </c>
      <c r="M1" s="8"/>
      <c r="N1" s="8"/>
      <c r="O1" s="8"/>
    </row>
    <row r="2" spans="2:27" ht="16.5" customHeight="1" thickTop="1" thickBot="1" x14ac:dyDescent="0.3">
      <c r="B2" s="61"/>
      <c r="C2" s="73">
        <v>46023</v>
      </c>
      <c r="D2" s="72">
        <f ca="1">TODAY()</f>
        <v>46119</v>
      </c>
      <c r="E2" s="83">
        <f ca="1">NOW()</f>
        <v>46119.642676967589</v>
      </c>
      <c r="F2" s="84"/>
      <c r="G2" s="50"/>
      <c r="H2" s="50"/>
      <c r="I2" s="50"/>
      <c r="J2" s="50"/>
      <c r="K2" s="50"/>
      <c r="L2" s="50"/>
      <c r="M2" s="59"/>
      <c r="N2" s="59"/>
      <c r="O2" s="59"/>
      <c r="P2" s="59"/>
      <c r="Q2" s="59"/>
      <c r="R2" s="59"/>
      <c r="S2" s="50"/>
      <c r="T2" s="59"/>
      <c r="U2" s="50"/>
      <c r="V2" s="59"/>
      <c r="W2" s="50"/>
      <c r="X2" s="59"/>
      <c r="Y2" s="59"/>
      <c r="Z2" s="59"/>
      <c r="AA2" s="60"/>
    </row>
    <row r="3" spans="2:27" ht="15.75" thickTop="1" thickBot="1" x14ac:dyDescent="0.25">
      <c r="B3" s="43"/>
      <c r="C3" s="44"/>
      <c r="D3" s="44"/>
      <c r="E3" s="45"/>
      <c r="F3" s="45"/>
      <c r="G3" s="45"/>
      <c r="H3" s="45"/>
      <c r="I3" s="45"/>
      <c r="J3" s="45"/>
      <c r="K3" s="45"/>
      <c r="L3" s="45"/>
      <c r="M3" s="44"/>
      <c r="N3" s="44"/>
      <c r="O3" s="44"/>
      <c r="P3" s="44"/>
      <c r="Q3" s="44"/>
      <c r="R3" s="44"/>
      <c r="S3" s="46"/>
      <c r="T3" s="44"/>
      <c r="U3" s="46"/>
      <c r="V3" s="44"/>
      <c r="W3" s="46"/>
      <c r="X3" s="44"/>
      <c r="Y3" s="44"/>
      <c r="Z3" s="44"/>
      <c r="AA3" s="47"/>
    </row>
    <row r="4" spans="2:27" ht="15" thickBot="1" x14ac:dyDescent="0.25">
      <c r="B4" s="43"/>
      <c r="C4" s="44"/>
      <c r="D4" s="48"/>
      <c r="E4" s="85" t="s">
        <v>15</v>
      </c>
      <c r="F4" s="85"/>
      <c r="G4" s="85"/>
      <c r="H4" s="85"/>
      <c r="I4" s="85" t="s">
        <v>16</v>
      </c>
      <c r="J4" s="85"/>
      <c r="K4" s="85"/>
      <c r="L4" s="85"/>
      <c r="M4" s="86" t="s">
        <v>17</v>
      </c>
      <c r="N4" s="87"/>
      <c r="O4" s="88"/>
      <c r="P4" s="45"/>
      <c r="Q4" s="45"/>
      <c r="R4" s="45"/>
      <c r="S4" s="52"/>
      <c r="T4" s="45"/>
      <c r="U4" s="52"/>
      <c r="V4" s="45"/>
      <c r="W4" s="52"/>
      <c r="X4" s="45"/>
      <c r="Y4" s="45"/>
      <c r="Z4" s="45"/>
      <c r="AA4" s="47"/>
    </row>
    <row r="5" spans="2:27" ht="15" thickBot="1" x14ac:dyDescent="0.25">
      <c r="B5" s="43"/>
      <c r="C5" s="44"/>
      <c r="D5" s="33" t="s">
        <v>18</v>
      </c>
      <c r="E5" s="25" t="s">
        <v>19</v>
      </c>
      <c r="F5" s="26" t="s">
        <v>20</v>
      </c>
      <c r="G5" s="25" t="s">
        <v>19</v>
      </c>
      <c r="H5" s="26" t="s">
        <v>20</v>
      </c>
      <c r="I5" s="25" t="s">
        <v>19</v>
      </c>
      <c r="J5" s="26" t="s">
        <v>20</v>
      </c>
      <c r="K5" s="25" t="s">
        <v>19</v>
      </c>
      <c r="L5" s="27" t="s">
        <v>20</v>
      </c>
      <c r="M5" s="5" t="s">
        <v>15</v>
      </c>
      <c r="N5" s="1" t="s">
        <v>16</v>
      </c>
      <c r="O5" s="4" t="s">
        <v>21</v>
      </c>
      <c r="P5" s="33" t="s">
        <v>22</v>
      </c>
      <c r="Q5" s="2" t="s">
        <v>23</v>
      </c>
      <c r="R5" s="85" t="s">
        <v>24</v>
      </c>
      <c r="S5" s="85"/>
      <c r="T5" s="85"/>
      <c r="U5" s="85"/>
      <c r="V5" s="85"/>
      <c r="W5" s="85"/>
      <c r="X5" s="86" t="s">
        <v>25</v>
      </c>
      <c r="Y5" s="87"/>
      <c r="Z5" s="87"/>
      <c r="AA5" s="51"/>
    </row>
    <row r="6" spans="2:27" x14ac:dyDescent="0.2">
      <c r="B6" s="43"/>
      <c r="C6" s="9">
        <f>C2</f>
        <v>46023</v>
      </c>
      <c r="D6" s="10" t="s">
        <v>26</v>
      </c>
      <c r="E6" s="30"/>
      <c r="F6" s="24"/>
      <c r="G6" s="30"/>
      <c r="H6" s="24"/>
      <c r="I6" s="30"/>
      <c r="J6" s="24"/>
      <c r="K6" s="30"/>
      <c r="L6" s="24"/>
      <c r="M6" s="12">
        <f>((G6+H6/60)-(E6+F6/60))</f>
        <v>0</v>
      </c>
      <c r="N6" s="12">
        <f>((K6+L6/60)-(I6+J6/60))</f>
        <v>0</v>
      </c>
      <c r="O6" s="12">
        <f>N6+M6</f>
        <v>0</v>
      </c>
      <c r="P6" s="32">
        <v>8.5</v>
      </c>
      <c r="Q6" s="11">
        <f>ROUND(IF(O6&gt;0,(O6-P6)+Q2,+Q2),2)</f>
        <v>0</v>
      </c>
      <c r="R6" s="23"/>
      <c r="S6" s="23"/>
      <c r="T6" s="23"/>
      <c r="U6" s="23"/>
      <c r="V6" s="23"/>
      <c r="W6" s="35"/>
      <c r="X6" s="89"/>
      <c r="Y6" s="90"/>
      <c r="Z6" s="90"/>
      <c r="AA6" s="51"/>
    </row>
    <row r="7" spans="2:27" x14ac:dyDescent="0.2">
      <c r="B7" s="43"/>
      <c r="C7" s="13">
        <f>C6+1</f>
        <v>46024</v>
      </c>
      <c r="D7" s="14" t="s">
        <v>27</v>
      </c>
      <c r="E7" s="28"/>
      <c r="F7" s="15"/>
      <c r="G7" s="28"/>
      <c r="H7" s="15"/>
      <c r="I7" s="28"/>
      <c r="J7" s="15"/>
      <c r="K7" s="28"/>
      <c r="L7" s="15"/>
      <c r="M7" s="16">
        <f t="shared" ref="M7:M38" si="0">((G7+H7/60)-(E7+F7/60))</f>
        <v>0</v>
      </c>
      <c r="N7" s="16">
        <f t="shared" ref="N7:N38" si="1">((K7+L7/60)-(I7+J7/60))</f>
        <v>0</v>
      </c>
      <c r="O7" s="16">
        <f t="shared" ref="O7:O38" si="2">N7+M7</f>
        <v>0</v>
      </c>
      <c r="P7" s="31">
        <v>8.5</v>
      </c>
      <c r="Q7" s="15">
        <f>ROUND(IF(O7&gt;0,(O7-P7)+Q6,+Q6),2)</f>
        <v>0</v>
      </c>
      <c r="R7" s="16"/>
      <c r="S7" s="23"/>
      <c r="T7" s="16"/>
      <c r="U7" s="23"/>
      <c r="V7" s="16"/>
      <c r="W7" s="34"/>
      <c r="X7" s="81"/>
      <c r="Y7" s="82"/>
      <c r="Z7" s="82"/>
      <c r="AA7" s="51"/>
    </row>
    <row r="8" spans="2:27" x14ac:dyDescent="0.2">
      <c r="B8" s="43"/>
      <c r="C8" s="13">
        <f t="shared" ref="C8:C38" si="3">C7+1</f>
        <v>46025</v>
      </c>
      <c r="D8" s="14" t="s">
        <v>28</v>
      </c>
      <c r="E8" s="28"/>
      <c r="F8" s="15"/>
      <c r="G8" s="28"/>
      <c r="H8" s="15"/>
      <c r="I8" s="28"/>
      <c r="J8" s="15"/>
      <c r="K8" s="28"/>
      <c r="L8" s="15"/>
      <c r="M8" s="16">
        <f t="shared" si="0"/>
        <v>0</v>
      </c>
      <c r="N8" s="16">
        <f t="shared" si="1"/>
        <v>0</v>
      </c>
      <c r="O8" s="16">
        <f t="shared" si="2"/>
        <v>0</v>
      </c>
      <c r="P8" s="31">
        <v>8.5</v>
      </c>
      <c r="Q8" s="15">
        <f t="shared" ref="Q8:Q38" si="4">ROUND(IF(O8&gt;0,(O8-P8)+Q7,+Q7),2)</f>
        <v>0</v>
      </c>
      <c r="R8" s="16"/>
      <c r="S8" s="16"/>
      <c r="T8" s="16"/>
      <c r="U8" s="23"/>
      <c r="V8" s="16"/>
      <c r="W8" s="34"/>
      <c r="X8" s="81"/>
      <c r="Y8" s="82"/>
      <c r="Z8" s="82"/>
      <c r="AA8" s="51"/>
    </row>
    <row r="9" spans="2:27" x14ac:dyDescent="0.2">
      <c r="B9" s="43"/>
      <c r="C9" s="13">
        <f t="shared" si="3"/>
        <v>46026</v>
      </c>
      <c r="D9" s="14" t="s">
        <v>29</v>
      </c>
      <c r="E9" s="28"/>
      <c r="F9" s="15"/>
      <c r="G9" s="28"/>
      <c r="H9" s="15"/>
      <c r="I9" s="28"/>
      <c r="J9" s="15"/>
      <c r="K9" s="28"/>
      <c r="L9" s="15"/>
      <c r="M9" s="16">
        <f t="shared" si="0"/>
        <v>0</v>
      </c>
      <c r="N9" s="16">
        <f t="shared" si="1"/>
        <v>0</v>
      </c>
      <c r="O9" s="16">
        <f t="shared" si="2"/>
        <v>0</v>
      </c>
      <c r="P9" s="31">
        <v>8.5</v>
      </c>
      <c r="Q9" s="15">
        <f t="shared" si="4"/>
        <v>0</v>
      </c>
      <c r="R9" s="16"/>
      <c r="S9" s="23"/>
      <c r="T9" s="16"/>
      <c r="U9" s="16"/>
      <c r="V9" s="16"/>
      <c r="W9" s="34"/>
      <c r="X9" s="81"/>
      <c r="Y9" s="82"/>
      <c r="Z9" s="82"/>
      <c r="AA9" s="51"/>
    </row>
    <row r="10" spans="2:27" x14ac:dyDescent="0.2">
      <c r="B10" s="43"/>
      <c r="C10" s="13">
        <f t="shared" si="3"/>
        <v>46027</v>
      </c>
      <c r="D10" s="14" t="s">
        <v>30</v>
      </c>
      <c r="E10" s="28"/>
      <c r="F10" s="15"/>
      <c r="G10" s="28"/>
      <c r="H10" s="15"/>
      <c r="I10" s="28"/>
      <c r="J10" s="15"/>
      <c r="K10" s="28"/>
      <c r="L10" s="15"/>
      <c r="M10" s="16">
        <f t="shared" si="0"/>
        <v>0</v>
      </c>
      <c r="N10" s="16">
        <f t="shared" si="1"/>
        <v>0</v>
      </c>
      <c r="O10" s="16">
        <f t="shared" si="2"/>
        <v>0</v>
      </c>
      <c r="P10" s="31">
        <v>8</v>
      </c>
      <c r="Q10" s="15">
        <f t="shared" si="4"/>
        <v>0</v>
      </c>
      <c r="R10" s="16"/>
      <c r="S10" s="16"/>
      <c r="T10" s="16"/>
      <c r="U10" s="16"/>
      <c r="V10" s="16"/>
      <c r="W10" s="34"/>
      <c r="X10" s="81"/>
      <c r="Y10" s="82"/>
      <c r="Z10" s="82"/>
      <c r="AA10" s="51"/>
    </row>
    <row r="11" spans="2:27" hidden="1" x14ac:dyDescent="0.2">
      <c r="B11" s="43"/>
      <c r="C11" s="13">
        <f t="shared" si="3"/>
        <v>46028</v>
      </c>
      <c r="D11" s="14" t="s">
        <v>31</v>
      </c>
      <c r="E11" s="28"/>
      <c r="F11" s="15"/>
      <c r="G11" s="28"/>
      <c r="H11" s="15"/>
      <c r="I11" s="28"/>
      <c r="J11" s="15"/>
      <c r="K11" s="28"/>
      <c r="L11" s="15"/>
      <c r="M11" s="16">
        <f t="shared" si="0"/>
        <v>0</v>
      </c>
      <c r="N11" s="16">
        <f t="shared" si="1"/>
        <v>0</v>
      </c>
      <c r="O11" s="16">
        <f t="shared" si="2"/>
        <v>0</v>
      </c>
      <c r="P11" s="31"/>
      <c r="Q11" s="15">
        <f t="shared" si="4"/>
        <v>0</v>
      </c>
      <c r="R11" s="16"/>
      <c r="S11" s="16"/>
      <c r="T11" s="16"/>
      <c r="U11" s="16"/>
      <c r="V11" s="16"/>
      <c r="W11" s="34"/>
      <c r="X11" s="17"/>
      <c r="Y11" s="17"/>
      <c r="Z11" s="17"/>
      <c r="AA11" s="51"/>
    </row>
    <row r="12" spans="2:27" hidden="1" x14ac:dyDescent="0.2">
      <c r="B12" s="43"/>
      <c r="C12" s="13">
        <f t="shared" si="3"/>
        <v>46029</v>
      </c>
      <c r="D12" s="14" t="s">
        <v>32</v>
      </c>
      <c r="E12" s="28"/>
      <c r="F12" s="15"/>
      <c r="G12" s="28"/>
      <c r="H12" s="15"/>
      <c r="I12" s="28"/>
      <c r="J12" s="15"/>
      <c r="K12" s="28"/>
      <c r="L12" s="15"/>
      <c r="M12" s="16">
        <f t="shared" si="0"/>
        <v>0</v>
      </c>
      <c r="N12" s="16">
        <f t="shared" si="1"/>
        <v>0</v>
      </c>
      <c r="O12" s="16">
        <f t="shared" si="2"/>
        <v>0</v>
      </c>
      <c r="P12" s="31"/>
      <c r="Q12" s="15">
        <f t="shared" si="4"/>
        <v>0</v>
      </c>
      <c r="R12" s="16"/>
      <c r="S12" s="16"/>
      <c r="T12" s="16"/>
      <c r="U12" s="16"/>
      <c r="V12" s="16"/>
      <c r="W12" s="34"/>
      <c r="X12" s="17"/>
      <c r="Y12" s="17"/>
      <c r="Z12" s="17"/>
      <c r="AA12" s="51"/>
    </row>
    <row r="13" spans="2:27" x14ac:dyDescent="0.2">
      <c r="B13" s="43"/>
      <c r="C13" s="13">
        <f t="shared" si="3"/>
        <v>46030</v>
      </c>
      <c r="D13" s="14" t="s">
        <v>26</v>
      </c>
      <c r="E13" s="28"/>
      <c r="F13" s="15"/>
      <c r="G13" s="28"/>
      <c r="H13" s="15"/>
      <c r="I13" s="28"/>
      <c r="J13" s="15"/>
      <c r="K13" s="28"/>
      <c r="L13" s="15"/>
      <c r="M13" s="16">
        <f t="shared" si="0"/>
        <v>0</v>
      </c>
      <c r="N13" s="16">
        <f t="shared" si="1"/>
        <v>0</v>
      </c>
      <c r="O13" s="16">
        <f t="shared" si="2"/>
        <v>0</v>
      </c>
      <c r="P13" s="31">
        <v>8.5</v>
      </c>
      <c r="Q13" s="15">
        <f t="shared" si="4"/>
        <v>0</v>
      </c>
      <c r="R13" s="16"/>
      <c r="S13" s="16"/>
      <c r="T13" s="16"/>
      <c r="U13" s="16"/>
      <c r="V13" s="16"/>
      <c r="W13" s="34"/>
      <c r="X13" s="81"/>
      <c r="Y13" s="82"/>
      <c r="Z13" s="82"/>
      <c r="AA13" s="51"/>
    </row>
    <row r="14" spans="2:27" x14ac:dyDescent="0.2">
      <c r="B14" s="43"/>
      <c r="C14" s="13">
        <f t="shared" si="3"/>
        <v>46031</v>
      </c>
      <c r="D14" s="14" t="s">
        <v>27</v>
      </c>
      <c r="E14" s="28"/>
      <c r="F14" s="15"/>
      <c r="G14" s="28"/>
      <c r="H14" s="15"/>
      <c r="I14" s="28"/>
      <c r="J14" s="15"/>
      <c r="K14" s="28"/>
      <c r="L14" s="15"/>
      <c r="M14" s="16">
        <f t="shared" si="0"/>
        <v>0</v>
      </c>
      <c r="N14" s="16">
        <f t="shared" si="1"/>
        <v>0</v>
      </c>
      <c r="O14" s="16">
        <f t="shared" si="2"/>
        <v>0</v>
      </c>
      <c r="P14" s="31">
        <v>8.5</v>
      </c>
      <c r="Q14" s="15">
        <f t="shared" si="4"/>
        <v>0</v>
      </c>
      <c r="R14" s="16"/>
      <c r="S14" s="16"/>
      <c r="T14" s="16"/>
      <c r="U14" s="16"/>
      <c r="V14" s="16"/>
      <c r="W14" s="34"/>
      <c r="X14" s="81"/>
      <c r="Y14" s="82"/>
      <c r="Z14" s="82"/>
      <c r="AA14" s="51"/>
    </row>
    <row r="15" spans="2:27" x14ac:dyDescent="0.2">
      <c r="B15" s="43"/>
      <c r="C15" s="13">
        <f t="shared" si="3"/>
        <v>46032</v>
      </c>
      <c r="D15" s="14" t="s">
        <v>28</v>
      </c>
      <c r="E15" s="28"/>
      <c r="F15" s="15"/>
      <c r="G15" s="28"/>
      <c r="H15" s="15"/>
      <c r="I15" s="28"/>
      <c r="J15" s="15"/>
      <c r="K15" s="28"/>
      <c r="L15" s="15"/>
      <c r="M15" s="16">
        <f t="shared" si="0"/>
        <v>0</v>
      </c>
      <c r="N15" s="16">
        <f t="shared" si="1"/>
        <v>0</v>
      </c>
      <c r="O15" s="16">
        <f t="shared" si="2"/>
        <v>0</v>
      </c>
      <c r="P15" s="31">
        <v>8.5</v>
      </c>
      <c r="Q15" s="15">
        <f t="shared" si="4"/>
        <v>0</v>
      </c>
      <c r="R15" s="16"/>
      <c r="S15" s="16"/>
      <c r="T15" s="16"/>
      <c r="U15" s="16"/>
      <c r="V15" s="16"/>
      <c r="W15" s="34"/>
      <c r="X15" s="81"/>
      <c r="Y15" s="82"/>
      <c r="Z15" s="82"/>
      <c r="AA15" s="51"/>
    </row>
    <row r="16" spans="2:27" x14ac:dyDescent="0.2">
      <c r="B16" s="43"/>
      <c r="C16" s="13">
        <f t="shared" si="3"/>
        <v>46033</v>
      </c>
      <c r="D16" s="14" t="s">
        <v>29</v>
      </c>
      <c r="E16" s="28"/>
      <c r="F16" s="15"/>
      <c r="G16" s="28"/>
      <c r="H16" s="15"/>
      <c r="I16" s="28"/>
      <c r="J16" s="15"/>
      <c r="K16" s="28"/>
      <c r="L16" s="15"/>
      <c r="M16" s="16">
        <f t="shared" si="0"/>
        <v>0</v>
      </c>
      <c r="N16" s="16">
        <f t="shared" si="1"/>
        <v>0</v>
      </c>
      <c r="O16" s="16">
        <f t="shared" si="2"/>
        <v>0</v>
      </c>
      <c r="P16" s="31">
        <v>8.5</v>
      </c>
      <c r="Q16" s="15">
        <f t="shared" si="4"/>
        <v>0</v>
      </c>
      <c r="R16" s="16"/>
      <c r="S16" s="16"/>
      <c r="T16" s="16"/>
      <c r="U16" s="23"/>
      <c r="V16" s="16"/>
      <c r="W16" s="34"/>
      <c r="X16" s="81"/>
      <c r="Y16" s="82"/>
      <c r="Z16" s="82"/>
      <c r="AA16" s="51"/>
    </row>
    <row r="17" spans="2:27" x14ac:dyDescent="0.2">
      <c r="B17" s="43"/>
      <c r="C17" s="13">
        <f t="shared" si="3"/>
        <v>46034</v>
      </c>
      <c r="D17" s="14" t="s">
        <v>30</v>
      </c>
      <c r="E17" s="28"/>
      <c r="F17" s="15"/>
      <c r="G17" s="28"/>
      <c r="H17" s="15"/>
      <c r="I17" s="28"/>
      <c r="J17" s="15"/>
      <c r="K17" s="28"/>
      <c r="L17" s="15"/>
      <c r="M17" s="16">
        <f t="shared" si="0"/>
        <v>0</v>
      </c>
      <c r="N17" s="16">
        <f t="shared" si="1"/>
        <v>0</v>
      </c>
      <c r="O17" s="16">
        <f t="shared" si="2"/>
        <v>0</v>
      </c>
      <c r="P17" s="31">
        <v>8</v>
      </c>
      <c r="Q17" s="15">
        <f t="shared" si="4"/>
        <v>0</v>
      </c>
      <c r="R17" s="16"/>
      <c r="S17" s="16"/>
      <c r="T17" s="16"/>
      <c r="U17" s="16"/>
      <c r="V17" s="16"/>
      <c r="W17" s="34"/>
      <c r="X17" s="81"/>
      <c r="Y17" s="82"/>
      <c r="Z17" s="82"/>
      <c r="AA17" s="51"/>
    </row>
    <row r="18" spans="2:27" hidden="1" x14ac:dyDescent="0.2">
      <c r="B18" s="43"/>
      <c r="C18" s="13">
        <f t="shared" si="3"/>
        <v>46035</v>
      </c>
      <c r="D18" s="14" t="s">
        <v>31</v>
      </c>
      <c r="E18" s="28"/>
      <c r="F18" s="15"/>
      <c r="G18" s="28"/>
      <c r="H18" s="15"/>
      <c r="I18" s="28"/>
      <c r="J18" s="15"/>
      <c r="K18" s="28"/>
      <c r="L18" s="15"/>
      <c r="M18" s="16">
        <f t="shared" si="0"/>
        <v>0</v>
      </c>
      <c r="N18" s="16">
        <f t="shared" si="1"/>
        <v>0</v>
      </c>
      <c r="O18" s="16">
        <f t="shared" si="2"/>
        <v>0</v>
      </c>
      <c r="P18" s="31"/>
      <c r="Q18" s="15">
        <f t="shared" si="4"/>
        <v>0</v>
      </c>
      <c r="R18" s="16"/>
      <c r="S18" s="16"/>
      <c r="T18" s="16"/>
      <c r="U18" s="16"/>
      <c r="V18" s="16"/>
      <c r="W18" s="34"/>
      <c r="X18" s="17"/>
      <c r="Y18" s="17"/>
      <c r="Z18" s="17"/>
      <c r="AA18" s="51"/>
    </row>
    <row r="19" spans="2:27" hidden="1" x14ac:dyDescent="0.2">
      <c r="B19" s="43"/>
      <c r="C19" s="13">
        <f t="shared" si="3"/>
        <v>46036</v>
      </c>
      <c r="D19" s="14" t="s">
        <v>32</v>
      </c>
      <c r="E19" s="28"/>
      <c r="F19" s="15"/>
      <c r="G19" s="28"/>
      <c r="H19" s="15"/>
      <c r="I19" s="28"/>
      <c r="J19" s="15"/>
      <c r="K19" s="28"/>
      <c r="L19" s="15"/>
      <c r="M19" s="16">
        <f t="shared" si="0"/>
        <v>0</v>
      </c>
      <c r="N19" s="16">
        <f t="shared" si="1"/>
        <v>0</v>
      </c>
      <c r="O19" s="16">
        <f t="shared" si="2"/>
        <v>0</v>
      </c>
      <c r="P19" s="31"/>
      <c r="Q19" s="15">
        <f t="shared" si="4"/>
        <v>0</v>
      </c>
      <c r="R19" s="16"/>
      <c r="S19" s="16"/>
      <c r="T19" s="16"/>
      <c r="U19" s="16"/>
      <c r="V19" s="16"/>
      <c r="W19" s="34"/>
      <c r="X19" s="17"/>
      <c r="Y19" s="17"/>
      <c r="Z19" s="17"/>
      <c r="AA19" s="51"/>
    </row>
    <row r="20" spans="2:27" x14ac:dyDescent="0.2">
      <c r="B20" s="43"/>
      <c r="C20" s="13">
        <f t="shared" si="3"/>
        <v>46037</v>
      </c>
      <c r="D20" s="14" t="s">
        <v>26</v>
      </c>
      <c r="E20" s="28"/>
      <c r="F20" s="15"/>
      <c r="G20" s="28"/>
      <c r="H20" s="15"/>
      <c r="I20" s="28"/>
      <c r="J20" s="15"/>
      <c r="K20" s="28"/>
      <c r="L20" s="15"/>
      <c r="M20" s="16">
        <f t="shared" si="0"/>
        <v>0</v>
      </c>
      <c r="N20" s="16">
        <f t="shared" si="1"/>
        <v>0</v>
      </c>
      <c r="O20" s="16">
        <f t="shared" si="2"/>
        <v>0</v>
      </c>
      <c r="P20" s="31">
        <v>8.5</v>
      </c>
      <c r="Q20" s="15">
        <f t="shared" si="4"/>
        <v>0</v>
      </c>
      <c r="R20" s="16"/>
      <c r="S20" s="23"/>
      <c r="T20" s="16"/>
      <c r="U20" s="16"/>
      <c r="V20" s="16"/>
      <c r="W20" s="34"/>
      <c r="X20" s="81"/>
      <c r="Y20" s="82"/>
      <c r="Z20" s="82"/>
      <c r="AA20" s="51"/>
    </row>
    <row r="21" spans="2:27" x14ac:dyDescent="0.2">
      <c r="B21" s="43"/>
      <c r="C21" s="13">
        <f t="shared" si="3"/>
        <v>46038</v>
      </c>
      <c r="D21" s="14" t="s">
        <v>27</v>
      </c>
      <c r="E21" s="28"/>
      <c r="F21" s="15"/>
      <c r="G21" s="28"/>
      <c r="H21" s="15"/>
      <c r="I21" s="28"/>
      <c r="J21" s="15"/>
      <c r="K21" s="28"/>
      <c r="L21" s="15"/>
      <c r="M21" s="16">
        <f t="shared" si="0"/>
        <v>0</v>
      </c>
      <c r="N21" s="16">
        <f t="shared" si="1"/>
        <v>0</v>
      </c>
      <c r="O21" s="16">
        <f t="shared" si="2"/>
        <v>0</v>
      </c>
      <c r="P21" s="31">
        <v>8.5</v>
      </c>
      <c r="Q21" s="15">
        <f t="shared" si="4"/>
        <v>0</v>
      </c>
      <c r="R21" s="16"/>
      <c r="S21" s="16"/>
      <c r="T21" s="16"/>
      <c r="U21" s="16"/>
      <c r="V21" s="16"/>
      <c r="W21" s="34"/>
      <c r="X21" s="81"/>
      <c r="Y21" s="82"/>
      <c r="Z21" s="82"/>
      <c r="AA21" s="51"/>
    </row>
    <row r="22" spans="2:27" x14ac:dyDescent="0.2">
      <c r="B22" s="43"/>
      <c r="C22" s="13">
        <f t="shared" si="3"/>
        <v>46039</v>
      </c>
      <c r="D22" s="14" t="s">
        <v>28</v>
      </c>
      <c r="E22" s="28"/>
      <c r="F22" s="15"/>
      <c r="G22" s="28"/>
      <c r="H22" s="15"/>
      <c r="I22" s="28"/>
      <c r="J22" s="15"/>
      <c r="K22" s="28"/>
      <c r="L22" s="15"/>
      <c r="M22" s="16">
        <f t="shared" si="0"/>
        <v>0</v>
      </c>
      <c r="N22" s="16">
        <f t="shared" si="1"/>
        <v>0</v>
      </c>
      <c r="O22" s="16">
        <f t="shared" si="2"/>
        <v>0</v>
      </c>
      <c r="P22" s="31">
        <v>8.5</v>
      </c>
      <c r="Q22" s="15">
        <f t="shared" si="4"/>
        <v>0</v>
      </c>
      <c r="R22" s="16"/>
      <c r="S22" s="16"/>
      <c r="T22" s="16"/>
      <c r="U22" s="16"/>
      <c r="V22" s="16"/>
      <c r="W22" s="34"/>
      <c r="X22" s="81"/>
      <c r="Y22" s="82"/>
      <c r="Z22" s="82"/>
      <c r="AA22" s="51"/>
    </row>
    <row r="23" spans="2:27" x14ac:dyDescent="0.2">
      <c r="B23" s="43"/>
      <c r="C23" s="13">
        <f t="shared" si="3"/>
        <v>46040</v>
      </c>
      <c r="D23" s="14" t="s">
        <v>29</v>
      </c>
      <c r="E23" s="28"/>
      <c r="F23" s="15"/>
      <c r="G23" s="28"/>
      <c r="H23" s="15"/>
      <c r="I23" s="28"/>
      <c r="J23" s="15"/>
      <c r="K23" s="28"/>
      <c r="L23" s="15"/>
      <c r="M23" s="16">
        <f t="shared" si="0"/>
        <v>0</v>
      </c>
      <c r="N23" s="16">
        <f t="shared" si="1"/>
        <v>0</v>
      </c>
      <c r="O23" s="16">
        <f t="shared" si="2"/>
        <v>0</v>
      </c>
      <c r="P23" s="31">
        <v>8.5</v>
      </c>
      <c r="Q23" s="15">
        <f t="shared" si="4"/>
        <v>0</v>
      </c>
      <c r="R23" s="16"/>
      <c r="S23" s="23"/>
      <c r="T23" s="16"/>
      <c r="U23" s="23"/>
      <c r="V23" s="16"/>
      <c r="W23" s="34"/>
      <c r="X23" s="81"/>
      <c r="Y23" s="82"/>
      <c r="Z23" s="82"/>
      <c r="AA23" s="51"/>
    </row>
    <row r="24" spans="2:27" x14ac:dyDescent="0.2">
      <c r="B24" s="43"/>
      <c r="C24" s="13">
        <f t="shared" si="3"/>
        <v>46041</v>
      </c>
      <c r="D24" s="14" t="s">
        <v>30</v>
      </c>
      <c r="E24" s="28"/>
      <c r="F24" s="15"/>
      <c r="G24" s="28"/>
      <c r="H24" s="15"/>
      <c r="I24" s="28"/>
      <c r="J24" s="15"/>
      <c r="K24" s="28"/>
      <c r="L24" s="15"/>
      <c r="M24" s="16">
        <f t="shared" si="0"/>
        <v>0</v>
      </c>
      <c r="N24" s="16">
        <f t="shared" si="1"/>
        <v>0</v>
      </c>
      <c r="O24" s="16">
        <f t="shared" si="2"/>
        <v>0</v>
      </c>
      <c r="P24" s="31">
        <v>8</v>
      </c>
      <c r="Q24" s="15">
        <f t="shared" si="4"/>
        <v>0</v>
      </c>
      <c r="R24" s="16"/>
      <c r="S24" s="23"/>
      <c r="T24" s="16"/>
      <c r="U24" s="16"/>
      <c r="V24" s="16"/>
      <c r="W24" s="34"/>
      <c r="X24" s="81"/>
      <c r="Y24" s="82"/>
      <c r="Z24" s="82"/>
      <c r="AA24" s="51"/>
    </row>
    <row r="25" spans="2:27" hidden="1" x14ac:dyDescent="0.2">
      <c r="B25" s="43"/>
      <c r="C25" s="13">
        <f t="shared" si="3"/>
        <v>46042</v>
      </c>
      <c r="D25" s="14" t="s">
        <v>31</v>
      </c>
      <c r="E25" s="28"/>
      <c r="F25" s="15"/>
      <c r="G25" s="28"/>
      <c r="H25" s="15"/>
      <c r="I25" s="28"/>
      <c r="J25" s="15"/>
      <c r="K25" s="28"/>
      <c r="L25" s="15"/>
      <c r="M25" s="16">
        <f t="shared" si="0"/>
        <v>0</v>
      </c>
      <c r="N25" s="16">
        <f t="shared" si="1"/>
        <v>0</v>
      </c>
      <c r="O25" s="16">
        <f t="shared" si="2"/>
        <v>0</v>
      </c>
      <c r="P25" s="31"/>
      <c r="Q25" s="15">
        <f t="shared" si="4"/>
        <v>0</v>
      </c>
      <c r="R25" s="16"/>
      <c r="S25" s="16"/>
      <c r="T25" s="16"/>
      <c r="U25" s="16"/>
      <c r="V25" s="16"/>
      <c r="W25" s="34"/>
      <c r="X25" s="17"/>
      <c r="Y25" s="17"/>
      <c r="Z25" s="17"/>
      <c r="AA25" s="51"/>
    </row>
    <row r="26" spans="2:27" hidden="1" x14ac:dyDescent="0.2">
      <c r="B26" s="43"/>
      <c r="C26" s="13">
        <f t="shared" si="3"/>
        <v>46043</v>
      </c>
      <c r="D26" s="14" t="s">
        <v>32</v>
      </c>
      <c r="E26" s="28"/>
      <c r="F26" s="15"/>
      <c r="G26" s="28"/>
      <c r="H26" s="15"/>
      <c r="I26" s="28"/>
      <c r="J26" s="15"/>
      <c r="K26" s="28"/>
      <c r="L26" s="15"/>
      <c r="M26" s="16">
        <f t="shared" si="0"/>
        <v>0</v>
      </c>
      <c r="N26" s="16">
        <f t="shared" si="1"/>
        <v>0</v>
      </c>
      <c r="O26" s="16">
        <f t="shared" si="2"/>
        <v>0</v>
      </c>
      <c r="P26" s="31"/>
      <c r="Q26" s="15">
        <f t="shared" si="4"/>
        <v>0</v>
      </c>
      <c r="R26" s="16"/>
      <c r="S26" s="16"/>
      <c r="T26" s="16"/>
      <c r="U26" s="16"/>
      <c r="V26" s="16"/>
      <c r="W26" s="34"/>
      <c r="X26" s="17"/>
      <c r="Y26" s="17"/>
      <c r="Z26" s="17"/>
      <c r="AA26" s="51"/>
    </row>
    <row r="27" spans="2:27" x14ac:dyDescent="0.2">
      <c r="B27" s="43"/>
      <c r="C27" s="13">
        <f t="shared" si="3"/>
        <v>46044</v>
      </c>
      <c r="D27" s="14" t="s">
        <v>26</v>
      </c>
      <c r="E27" s="28"/>
      <c r="F27" s="15"/>
      <c r="G27" s="28"/>
      <c r="H27" s="15"/>
      <c r="I27" s="28"/>
      <c r="J27" s="15"/>
      <c r="K27" s="28"/>
      <c r="L27" s="15"/>
      <c r="M27" s="16">
        <f t="shared" si="0"/>
        <v>0</v>
      </c>
      <c r="N27" s="16">
        <f t="shared" si="1"/>
        <v>0</v>
      </c>
      <c r="O27" s="16">
        <f t="shared" si="2"/>
        <v>0</v>
      </c>
      <c r="P27" s="31">
        <v>8.5</v>
      </c>
      <c r="Q27" s="15">
        <f t="shared" si="4"/>
        <v>0</v>
      </c>
      <c r="R27" s="16"/>
      <c r="S27" s="23"/>
      <c r="T27" s="16"/>
      <c r="U27" s="16"/>
      <c r="V27" s="16"/>
      <c r="W27" s="34"/>
      <c r="X27" s="81"/>
      <c r="Y27" s="82"/>
      <c r="Z27" s="82"/>
      <c r="AA27" s="51"/>
    </row>
    <row r="28" spans="2:27" x14ac:dyDescent="0.2">
      <c r="B28" s="43"/>
      <c r="C28" s="13">
        <f t="shared" si="3"/>
        <v>46045</v>
      </c>
      <c r="D28" s="14" t="s">
        <v>27</v>
      </c>
      <c r="E28" s="28"/>
      <c r="F28" s="15"/>
      <c r="G28" s="28"/>
      <c r="H28" s="15"/>
      <c r="I28" s="28"/>
      <c r="J28" s="15"/>
      <c r="K28" s="28"/>
      <c r="L28" s="15"/>
      <c r="M28" s="16">
        <f t="shared" si="0"/>
        <v>0</v>
      </c>
      <c r="N28" s="16">
        <f t="shared" si="1"/>
        <v>0</v>
      </c>
      <c r="O28" s="16">
        <f t="shared" si="2"/>
        <v>0</v>
      </c>
      <c r="P28" s="31">
        <v>8.5</v>
      </c>
      <c r="Q28" s="15">
        <f t="shared" si="4"/>
        <v>0</v>
      </c>
      <c r="R28" s="16"/>
      <c r="S28" s="23"/>
      <c r="T28" s="16"/>
      <c r="U28" s="16"/>
      <c r="V28" s="16"/>
      <c r="W28" s="34"/>
      <c r="X28" s="81"/>
      <c r="Y28" s="82"/>
      <c r="Z28" s="82"/>
      <c r="AA28" s="51"/>
    </row>
    <row r="29" spans="2:27" x14ac:dyDescent="0.2">
      <c r="B29" s="43"/>
      <c r="C29" s="13">
        <f t="shared" si="3"/>
        <v>46046</v>
      </c>
      <c r="D29" s="14" t="s">
        <v>28</v>
      </c>
      <c r="E29" s="28"/>
      <c r="F29" s="15"/>
      <c r="G29" s="28"/>
      <c r="H29" s="15"/>
      <c r="I29" s="28"/>
      <c r="J29" s="15"/>
      <c r="K29" s="28"/>
      <c r="L29" s="15"/>
      <c r="M29" s="16">
        <f t="shared" si="0"/>
        <v>0</v>
      </c>
      <c r="N29" s="16">
        <f t="shared" si="1"/>
        <v>0</v>
      </c>
      <c r="O29" s="16">
        <f t="shared" si="2"/>
        <v>0</v>
      </c>
      <c r="P29" s="31">
        <v>8.5</v>
      </c>
      <c r="Q29" s="15">
        <f t="shared" si="4"/>
        <v>0</v>
      </c>
      <c r="R29" s="16"/>
      <c r="S29" s="16"/>
      <c r="T29" s="16"/>
      <c r="U29" s="23"/>
      <c r="V29" s="16"/>
      <c r="W29" s="34"/>
      <c r="X29" s="81"/>
      <c r="Y29" s="82"/>
      <c r="Z29" s="82"/>
      <c r="AA29" s="51"/>
    </row>
    <row r="30" spans="2:27" x14ac:dyDescent="0.2">
      <c r="B30" s="43"/>
      <c r="C30" s="13">
        <f t="shared" si="3"/>
        <v>46047</v>
      </c>
      <c r="D30" s="14" t="s">
        <v>29</v>
      </c>
      <c r="E30" s="28"/>
      <c r="F30" s="15"/>
      <c r="G30" s="28"/>
      <c r="H30" s="15"/>
      <c r="I30" s="28"/>
      <c r="J30" s="15"/>
      <c r="K30" s="28"/>
      <c r="L30" s="15"/>
      <c r="M30" s="16">
        <f t="shared" si="0"/>
        <v>0</v>
      </c>
      <c r="N30" s="16">
        <f t="shared" si="1"/>
        <v>0</v>
      </c>
      <c r="O30" s="16">
        <f t="shared" si="2"/>
        <v>0</v>
      </c>
      <c r="P30" s="31">
        <v>8.5</v>
      </c>
      <c r="Q30" s="15">
        <f t="shared" si="4"/>
        <v>0</v>
      </c>
      <c r="R30" s="16"/>
      <c r="S30" s="16"/>
      <c r="T30" s="16"/>
      <c r="U30" s="23"/>
      <c r="V30" s="16"/>
      <c r="W30" s="34"/>
      <c r="X30" s="81"/>
      <c r="Y30" s="82"/>
      <c r="Z30" s="82"/>
      <c r="AA30" s="51"/>
    </row>
    <row r="31" spans="2:27" x14ac:dyDescent="0.2">
      <c r="B31" s="43"/>
      <c r="C31" s="13">
        <f t="shared" si="3"/>
        <v>46048</v>
      </c>
      <c r="D31" s="14" t="s">
        <v>30</v>
      </c>
      <c r="E31" s="28"/>
      <c r="F31" s="15"/>
      <c r="G31" s="28"/>
      <c r="H31" s="15"/>
      <c r="I31" s="28"/>
      <c r="J31" s="15"/>
      <c r="K31" s="28"/>
      <c r="L31" s="15"/>
      <c r="M31" s="16">
        <f t="shared" si="0"/>
        <v>0</v>
      </c>
      <c r="N31" s="16">
        <f t="shared" si="1"/>
        <v>0</v>
      </c>
      <c r="O31" s="16">
        <f t="shared" si="2"/>
        <v>0</v>
      </c>
      <c r="P31" s="31">
        <v>8</v>
      </c>
      <c r="Q31" s="15">
        <f t="shared" si="4"/>
        <v>0</v>
      </c>
      <c r="R31" s="16"/>
      <c r="S31" s="16"/>
      <c r="T31" s="16"/>
      <c r="U31" s="16"/>
      <c r="V31" s="16"/>
      <c r="W31" s="34"/>
      <c r="X31" s="81"/>
      <c r="Y31" s="82"/>
      <c r="Z31" s="82"/>
      <c r="AA31" s="51"/>
    </row>
    <row r="32" spans="2:27" hidden="1" x14ac:dyDescent="0.2">
      <c r="B32" s="43"/>
      <c r="C32" s="13">
        <f t="shared" si="3"/>
        <v>46049</v>
      </c>
      <c r="D32" s="14" t="s">
        <v>31</v>
      </c>
      <c r="E32" s="28"/>
      <c r="F32" s="15"/>
      <c r="G32" s="28"/>
      <c r="H32" s="15"/>
      <c r="I32" s="28"/>
      <c r="J32" s="15"/>
      <c r="K32" s="28"/>
      <c r="L32" s="15"/>
      <c r="M32" s="16">
        <f t="shared" si="0"/>
        <v>0</v>
      </c>
      <c r="N32" s="16">
        <f t="shared" si="1"/>
        <v>0</v>
      </c>
      <c r="O32" s="16">
        <f t="shared" si="2"/>
        <v>0</v>
      </c>
      <c r="P32" s="31"/>
      <c r="Q32" s="15">
        <f t="shared" si="4"/>
        <v>0</v>
      </c>
      <c r="R32" s="16"/>
      <c r="S32" s="16"/>
      <c r="T32" s="16"/>
      <c r="U32" s="16"/>
      <c r="V32" s="16"/>
      <c r="W32" s="34"/>
      <c r="X32" s="17"/>
      <c r="Y32" s="17"/>
      <c r="Z32" s="17"/>
      <c r="AA32" s="51"/>
    </row>
    <row r="33" spans="2:27" hidden="1" x14ac:dyDescent="0.2">
      <c r="B33" s="43"/>
      <c r="C33" s="13">
        <f t="shared" si="3"/>
        <v>46050</v>
      </c>
      <c r="D33" s="14" t="s">
        <v>32</v>
      </c>
      <c r="E33" s="28"/>
      <c r="F33" s="15"/>
      <c r="G33" s="28"/>
      <c r="H33" s="15"/>
      <c r="I33" s="28"/>
      <c r="J33" s="15"/>
      <c r="K33" s="28"/>
      <c r="L33" s="15"/>
      <c r="M33" s="16">
        <f t="shared" si="0"/>
        <v>0</v>
      </c>
      <c r="N33" s="16">
        <f t="shared" si="1"/>
        <v>0</v>
      </c>
      <c r="O33" s="16">
        <f t="shared" si="2"/>
        <v>0</v>
      </c>
      <c r="P33" s="31"/>
      <c r="Q33" s="15">
        <f t="shared" si="4"/>
        <v>0</v>
      </c>
      <c r="R33" s="16"/>
      <c r="S33" s="16"/>
      <c r="T33" s="16"/>
      <c r="U33" s="16"/>
      <c r="V33" s="16"/>
      <c r="W33" s="34"/>
      <c r="X33" s="17"/>
      <c r="Y33" s="17"/>
      <c r="Z33" s="17"/>
      <c r="AA33" s="51"/>
    </row>
    <row r="34" spans="2:27" x14ac:dyDescent="0.2">
      <c r="B34" s="43"/>
      <c r="C34" s="13">
        <f t="shared" si="3"/>
        <v>46051</v>
      </c>
      <c r="D34" s="14" t="s">
        <v>26</v>
      </c>
      <c r="E34" s="28"/>
      <c r="F34" s="15"/>
      <c r="G34" s="28"/>
      <c r="H34" s="15"/>
      <c r="I34" s="28"/>
      <c r="J34" s="15"/>
      <c r="K34" s="28"/>
      <c r="L34" s="15"/>
      <c r="M34" s="16">
        <f t="shared" si="0"/>
        <v>0</v>
      </c>
      <c r="N34" s="16">
        <f t="shared" si="1"/>
        <v>0</v>
      </c>
      <c r="O34" s="16">
        <f t="shared" si="2"/>
        <v>0</v>
      </c>
      <c r="P34" s="31">
        <v>8.5</v>
      </c>
      <c r="Q34" s="15">
        <f t="shared" si="4"/>
        <v>0</v>
      </c>
      <c r="R34" s="16"/>
      <c r="S34" s="16"/>
      <c r="T34" s="16"/>
      <c r="U34" s="16"/>
      <c r="V34" s="16"/>
      <c r="W34" s="34"/>
      <c r="X34" s="81"/>
      <c r="Y34" s="82"/>
      <c r="Z34" s="82"/>
      <c r="AA34" s="51"/>
    </row>
    <row r="35" spans="2:27" x14ac:dyDescent="0.2">
      <c r="B35" s="43"/>
      <c r="C35" s="13">
        <f t="shared" si="3"/>
        <v>46052</v>
      </c>
      <c r="D35" s="14" t="s">
        <v>27</v>
      </c>
      <c r="E35" s="28"/>
      <c r="F35" s="15"/>
      <c r="G35" s="28"/>
      <c r="H35" s="15"/>
      <c r="I35" s="28"/>
      <c r="J35" s="15"/>
      <c r="K35" s="28"/>
      <c r="L35" s="15"/>
      <c r="M35" s="16">
        <f t="shared" si="0"/>
        <v>0</v>
      </c>
      <c r="N35" s="16">
        <f t="shared" si="1"/>
        <v>0</v>
      </c>
      <c r="O35" s="16">
        <f t="shared" si="2"/>
        <v>0</v>
      </c>
      <c r="P35" s="31">
        <v>8.5</v>
      </c>
      <c r="Q35" s="15">
        <f t="shared" si="4"/>
        <v>0</v>
      </c>
      <c r="R35" s="16"/>
      <c r="S35" s="16"/>
      <c r="T35" s="16"/>
      <c r="U35" s="16"/>
      <c r="V35" s="16"/>
      <c r="W35" s="34"/>
      <c r="X35" s="81"/>
      <c r="Y35" s="82"/>
      <c r="Z35" s="82"/>
      <c r="AA35" s="51"/>
    </row>
    <row r="36" spans="2:27" x14ac:dyDescent="0.2">
      <c r="B36" s="43"/>
      <c r="C36" s="13">
        <f t="shared" si="3"/>
        <v>46053</v>
      </c>
      <c r="D36" s="14" t="s">
        <v>28</v>
      </c>
      <c r="E36" s="28"/>
      <c r="F36" s="15"/>
      <c r="G36" s="28"/>
      <c r="H36" s="15"/>
      <c r="I36" s="28"/>
      <c r="J36" s="15"/>
      <c r="K36" s="28"/>
      <c r="L36" s="15"/>
      <c r="M36" s="16">
        <f t="shared" si="0"/>
        <v>0</v>
      </c>
      <c r="N36" s="16">
        <f t="shared" si="1"/>
        <v>0</v>
      </c>
      <c r="O36" s="16">
        <f t="shared" si="2"/>
        <v>0</v>
      </c>
      <c r="P36" s="31">
        <v>8.5</v>
      </c>
      <c r="Q36" s="15">
        <f t="shared" si="4"/>
        <v>0</v>
      </c>
      <c r="R36" s="16"/>
      <c r="S36" s="16"/>
      <c r="T36" s="16"/>
      <c r="U36" s="16"/>
      <c r="V36" s="16"/>
      <c r="W36" s="34"/>
      <c r="X36" s="81"/>
      <c r="Y36" s="82"/>
      <c r="Z36" s="82"/>
      <c r="AA36" s="51"/>
    </row>
    <row r="37" spans="2:27" x14ac:dyDescent="0.2">
      <c r="B37" s="43"/>
      <c r="C37" s="13">
        <f t="shared" si="3"/>
        <v>46054</v>
      </c>
      <c r="D37" s="14" t="s">
        <v>29</v>
      </c>
      <c r="E37" s="28"/>
      <c r="F37" s="15"/>
      <c r="G37" s="28"/>
      <c r="H37" s="15"/>
      <c r="I37" s="28"/>
      <c r="J37" s="15"/>
      <c r="K37" s="28"/>
      <c r="L37" s="15"/>
      <c r="M37" s="16">
        <f t="shared" si="0"/>
        <v>0</v>
      </c>
      <c r="N37" s="16">
        <f t="shared" si="1"/>
        <v>0</v>
      </c>
      <c r="O37" s="16">
        <f t="shared" si="2"/>
        <v>0</v>
      </c>
      <c r="P37" s="31">
        <v>8.5</v>
      </c>
      <c r="Q37" s="15">
        <f t="shared" si="4"/>
        <v>0</v>
      </c>
      <c r="R37" s="16"/>
      <c r="S37" s="16"/>
      <c r="T37" s="16"/>
      <c r="U37" s="16"/>
      <c r="V37" s="16"/>
      <c r="W37" s="34"/>
      <c r="X37" s="81"/>
      <c r="Y37" s="82"/>
      <c r="Z37" s="82"/>
      <c r="AA37" s="51"/>
    </row>
    <row r="38" spans="2:27" ht="15" thickBot="1" x14ac:dyDescent="0.25">
      <c r="B38" s="43"/>
      <c r="C38" s="18">
        <f t="shared" si="3"/>
        <v>46055</v>
      </c>
      <c r="D38" s="19" t="s">
        <v>30</v>
      </c>
      <c r="E38" s="29"/>
      <c r="F38" s="21"/>
      <c r="G38" s="29"/>
      <c r="H38" s="21"/>
      <c r="I38" s="29"/>
      <c r="J38" s="21"/>
      <c r="K38" s="29"/>
      <c r="L38" s="21"/>
      <c r="M38" s="22">
        <f t="shared" si="0"/>
        <v>0</v>
      </c>
      <c r="N38" s="22">
        <f t="shared" si="1"/>
        <v>0</v>
      </c>
      <c r="O38" s="22">
        <f t="shared" si="2"/>
        <v>0</v>
      </c>
      <c r="P38" s="74">
        <v>8</v>
      </c>
      <c r="Q38" s="21">
        <f t="shared" si="4"/>
        <v>0</v>
      </c>
      <c r="R38" s="20"/>
      <c r="S38" s="22"/>
      <c r="T38" s="22"/>
      <c r="U38" s="22"/>
      <c r="V38" s="22"/>
      <c r="W38" s="36"/>
      <c r="X38" s="78"/>
      <c r="Y38" s="79"/>
      <c r="Z38" s="79"/>
      <c r="AA38" s="51"/>
    </row>
    <row r="39" spans="2:27" ht="15" thickBot="1" x14ac:dyDescent="0.25">
      <c r="B39" s="43"/>
      <c r="C39" s="44"/>
      <c r="D39" s="49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>
        <f>SUM(O6:O38)</f>
        <v>0</v>
      </c>
      <c r="P39" s="46"/>
      <c r="Q39" s="46"/>
      <c r="R39" s="80" cm="1">
        <f t="array" ref="R39">SUM(S6:S38+U6:U38+W6:W38)</f>
        <v>0</v>
      </c>
      <c r="S39" s="80"/>
      <c r="T39" s="80"/>
      <c r="U39" s="80"/>
      <c r="V39" s="80"/>
      <c r="W39" s="80"/>
      <c r="X39" s="44"/>
      <c r="Y39" s="44"/>
      <c r="Z39" s="44"/>
      <c r="AA39" s="47"/>
    </row>
    <row r="40" spans="2:27" ht="15.75" thickTop="1" thickBot="1" x14ac:dyDescent="0.25">
      <c r="B40" s="43"/>
      <c r="C40" s="40" t="s">
        <v>33</v>
      </c>
      <c r="D40" s="41" t="s">
        <v>34</v>
      </c>
      <c r="E40" s="42"/>
      <c r="F40" s="54"/>
      <c r="G40" s="54"/>
      <c r="H40" s="46"/>
      <c r="I40" s="62"/>
      <c r="J40" s="63"/>
      <c r="K40" s="63"/>
      <c r="L40" s="63"/>
      <c r="M40" s="63"/>
      <c r="N40" s="63"/>
      <c r="O40" s="63"/>
      <c r="Q40" s="63"/>
      <c r="R40" s="64"/>
      <c r="S40" s="63"/>
      <c r="T40" s="64"/>
      <c r="U40" s="63"/>
      <c r="V40" s="64"/>
      <c r="W40" s="63"/>
      <c r="X40" s="64"/>
      <c r="Y40" s="64"/>
      <c r="Z40" s="65"/>
      <c r="AA40" s="47"/>
    </row>
    <row r="41" spans="2:27" ht="15" thickTop="1" x14ac:dyDescent="0.2">
      <c r="B41" s="43"/>
      <c r="C41" s="75" t="e">
        <f>INDEX(Chantier!A:A,MATCH(D41,Chantier!B:B,0))</f>
        <v>#N/A</v>
      </c>
      <c r="D41" s="39"/>
      <c r="E41" s="76">
        <f>SUMIF(R5:R37,D41&amp;"*",S5:S37)+SUMIF(T5:T37,D41&amp;"*",U5:U37)+SUMIF(V5:V37,D41&amp;"*",W5:W37)</f>
        <v>0</v>
      </c>
      <c r="F41" s="44"/>
      <c r="G41" s="44"/>
      <c r="H41" s="44"/>
      <c r="I41" s="66"/>
      <c r="J41" s="17"/>
      <c r="K41" s="17"/>
      <c r="L41" s="17"/>
      <c r="M41" s="17"/>
      <c r="N41" s="17"/>
      <c r="O41" s="17"/>
      <c r="P41" s="17"/>
      <c r="Q41" s="17"/>
      <c r="R41" s="17"/>
      <c r="S41" s="16"/>
      <c r="T41" s="17"/>
      <c r="U41" s="16"/>
      <c r="V41" s="17"/>
      <c r="W41" s="16"/>
      <c r="X41" s="17"/>
      <c r="Y41" s="17"/>
      <c r="Z41" s="67"/>
      <c r="AA41" s="47"/>
    </row>
    <row r="42" spans="2:27" x14ac:dyDescent="0.2">
      <c r="B42" s="43"/>
      <c r="C42" s="75" t="e">
        <f>INDEX(Chantier!A:A,MATCH(D42,Chantier!B:B,0))</f>
        <v>#N/A</v>
      </c>
      <c r="D42" s="39"/>
      <c r="E42" s="76">
        <f>SUMIF(R6:R38,D42&amp;"*",S6:S38)+SUMIF(T6:T38,D42&amp;"*",U6:U38)+SUMIF(V6:V38,D42&amp;"*",W6:W38)</f>
        <v>0</v>
      </c>
      <c r="F42" s="44"/>
      <c r="G42" s="44"/>
      <c r="H42" s="44"/>
      <c r="I42" s="66"/>
      <c r="J42" s="17"/>
      <c r="K42" s="17"/>
      <c r="L42" s="17"/>
      <c r="M42" s="17"/>
      <c r="N42" s="17"/>
      <c r="O42" s="17"/>
      <c r="P42" s="17"/>
      <c r="Q42" s="17"/>
      <c r="R42" s="17"/>
      <c r="S42" s="16"/>
      <c r="T42" s="17"/>
      <c r="U42" s="16"/>
      <c r="V42" s="17"/>
      <c r="W42" s="16"/>
      <c r="X42" s="17"/>
      <c r="Y42" s="17"/>
      <c r="Z42" s="67"/>
      <c r="AA42" s="47"/>
    </row>
    <row r="43" spans="2:27" x14ac:dyDescent="0.2">
      <c r="B43" s="43"/>
      <c r="C43" s="75" t="e">
        <f>INDEX(Chantier!A:A,MATCH(D43,Chantier!B:B,0))</f>
        <v>#N/A</v>
      </c>
      <c r="D43" s="39"/>
      <c r="E43" s="76">
        <f>SUMIF(R6:R38,D43&amp;"*",S6:S38)+SUMIF(T6:T38,D43&amp;"*",U6:U38)+SUMIF(V6:V38,D43&amp;"*",W6:W38)</f>
        <v>0</v>
      </c>
      <c r="F43" s="44"/>
      <c r="G43" s="44"/>
      <c r="H43" s="44"/>
      <c r="I43" s="66"/>
      <c r="J43" s="17"/>
      <c r="K43" s="17"/>
      <c r="L43" s="17"/>
      <c r="M43" s="17"/>
      <c r="N43" s="17"/>
      <c r="O43" s="17"/>
      <c r="P43" s="17"/>
      <c r="Q43" s="17"/>
      <c r="R43" s="17"/>
      <c r="S43" s="16"/>
      <c r="T43" s="17"/>
      <c r="U43" s="16"/>
      <c r="V43" s="17"/>
      <c r="W43" s="16"/>
      <c r="X43" s="17"/>
      <c r="Y43" s="17"/>
      <c r="Z43" s="67"/>
      <c r="AA43" s="47"/>
    </row>
    <row r="44" spans="2:27" x14ac:dyDescent="0.2">
      <c r="B44" s="43"/>
      <c r="C44" s="75" t="e">
        <f>INDEX(Chantier!A:A,MATCH(D44,Chantier!B:B,0))</f>
        <v>#N/A</v>
      </c>
      <c r="D44" s="39"/>
      <c r="E44" s="76">
        <f>SUMIF(R6:R38,D44&amp;"*",S6:S38)+SUMIF(T6:T38,D44&amp;"*",U6:U38)+SUMIF(V6:V38,D44&amp;"*",W6:W38)</f>
        <v>0</v>
      </c>
      <c r="F44" s="44"/>
      <c r="G44" s="44"/>
      <c r="H44" s="44"/>
      <c r="I44" s="66"/>
      <c r="J44" s="17"/>
      <c r="K44" s="17"/>
      <c r="L44" s="17"/>
      <c r="M44" s="17"/>
      <c r="N44" s="17"/>
      <c r="O44" s="17"/>
      <c r="P44" s="17"/>
      <c r="Q44" s="17"/>
      <c r="R44" s="17"/>
      <c r="S44" s="16"/>
      <c r="T44" s="17"/>
      <c r="U44" s="16"/>
      <c r="V44" s="17"/>
      <c r="W44" s="16"/>
      <c r="X44" s="17"/>
      <c r="Y44" s="17"/>
      <c r="Z44" s="67"/>
      <c r="AA44" s="47"/>
    </row>
    <row r="45" spans="2:27" x14ac:dyDescent="0.2">
      <c r="B45" s="43"/>
      <c r="C45" s="75" t="e">
        <f>INDEX(Chantier!A:A,MATCH(D45,Chantier!B:B,0))</f>
        <v>#N/A</v>
      </c>
      <c r="D45" s="39"/>
      <c r="E45" s="76">
        <f>SUMIF(R6:R38,D45&amp;"*",S6:S38)+SUMIF(T6:T38,D45&amp;"*",U6:U38)+SUMIF(V6:V38,D45&amp;"*",W6:W38)</f>
        <v>0</v>
      </c>
      <c r="F45" s="44"/>
      <c r="G45" s="44"/>
      <c r="H45" s="44"/>
      <c r="I45" s="66"/>
      <c r="J45" s="17"/>
      <c r="K45" s="17"/>
      <c r="L45" s="17"/>
      <c r="M45" s="17"/>
      <c r="N45" s="17"/>
      <c r="O45" s="17"/>
      <c r="P45" s="17"/>
      <c r="Q45" s="17"/>
      <c r="R45" s="17"/>
      <c r="S45" s="16"/>
      <c r="T45" s="17"/>
      <c r="U45" s="16"/>
      <c r="V45" s="17"/>
      <c r="W45" s="16"/>
      <c r="X45" s="17"/>
      <c r="Y45" s="17"/>
      <c r="Z45" s="67"/>
      <c r="AA45" s="47"/>
    </row>
    <row r="46" spans="2:27" x14ac:dyDescent="0.2">
      <c r="B46" s="43"/>
      <c r="C46" s="75" t="e">
        <f>INDEX(Chantier!A:A,MATCH(D46,Chantier!B:B,0))</f>
        <v>#N/A</v>
      </c>
      <c r="D46" s="39"/>
      <c r="E46" s="76">
        <f>SUMIF(R6:R38,D46&amp;"*",S6:S38)+SUMIF(T6:T38,D46&amp;"*",U6:U38)+SUMIF(V6:V38,D46&amp;"*",W6:W38)</f>
        <v>0</v>
      </c>
      <c r="F46" s="44"/>
      <c r="G46" s="44"/>
      <c r="H46" s="44"/>
      <c r="I46" s="66"/>
      <c r="J46" s="17"/>
      <c r="K46" s="17"/>
      <c r="L46" s="17"/>
      <c r="M46" s="17"/>
      <c r="N46" s="17"/>
      <c r="O46" s="17"/>
      <c r="P46" s="17"/>
      <c r="Q46" s="17"/>
      <c r="R46" s="17"/>
      <c r="S46" s="16"/>
      <c r="T46" s="17"/>
      <c r="U46" s="16"/>
      <c r="V46" s="17"/>
      <c r="W46" s="16"/>
      <c r="X46" s="17"/>
      <c r="Y46" s="17"/>
      <c r="Z46" s="67"/>
      <c r="AA46" s="47"/>
    </row>
    <row r="47" spans="2:27" x14ac:dyDescent="0.2">
      <c r="B47" s="43"/>
      <c r="C47" s="37"/>
      <c r="D47" s="7" t="s">
        <v>35</v>
      </c>
      <c r="E47" s="38">
        <f>SUMIF(R6:R38,"Vac*",S6:S38)+SUMIF(T6:T38,"Vac*",U6:U38)+SUMIF(V6:V38,"Vac*",W6:W38)</f>
        <v>0</v>
      </c>
      <c r="F47" s="44"/>
      <c r="G47" s="44"/>
      <c r="H47" s="44"/>
      <c r="I47" s="66"/>
      <c r="J47" s="17"/>
      <c r="K47" s="17"/>
      <c r="L47" s="17"/>
      <c r="M47" s="17"/>
      <c r="N47" s="17"/>
      <c r="O47" s="17"/>
      <c r="P47" s="17"/>
      <c r="Q47" s="17"/>
      <c r="R47" s="17"/>
      <c r="S47" s="16"/>
      <c r="T47" s="17"/>
      <c r="U47" s="16"/>
      <c r="V47" s="17"/>
      <c r="W47" s="16"/>
      <c r="X47" s="17"/>
      <c r="Y47" s="17"/>
      <c r="Z47" s="67"/>
      <c r="AA47" s="47"/>
    </row>
    <row r="48" spans="2:27" ht="15" thickBot="1" x14ac:dyDescent="0.25">
      <c r="B48" s="43"/>
      <c r="C48" s="57" t="s">
        <v>36</v>
      </c>
      <c r="D48" s="58"/>
      <c r="E48" s="77">
        <f>SUM(E41:E47)</f>
        <v>0</v>
      </c>
      <c r="F48" s="44" t="str">
        <f>IF(O39=E48,"OK","PAS OK")</f>
        <v>OK</v>
      </c>
      <c r="G48" s="44"/>
      <c r="H48" s="44"/>
      <c r="I48" s="68"/>
      <c r="J48" s="69"/>
      <c r="K48" s="69"/>
      <c r="L48" s="69"/>
      <c r="M48" s="69"/>
      <c r="N48" s="69"/>
      <c r="O48" s="69"/>
      <c r="P48" s="69"/>
      <c r="Q48" s="69"/>
      <c r="R48" s="69"/>
      <c r="S48" s="70"/>
      <c r="T48" s="69"/>
      <c r="U48" s="70"/>
      <c r="V48" s="69"/>
      <c r="W48" s="70"/>
      <c r="X48" s="69"/>
      <c r="Y48" s="69"/>
      <c r="Z48" s="71"/>
      <c r="AA48" s="47"/>
    </row>
    <row r="49" spans="2:27" ht="15.75" thickTop="1" thickBot="1" x14ac:dyDescent="0.25">
      <c r="B49" s="53"/>
      <c r="C49" s="45"/>
      <c r="D49" s="56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45"/>
      <c r="S49" s="52"/>
      <c r="T49" s="45"/>
      <c r="U49" s="52"/>
      <c r="V49" s="45"/>
      <c r="W49" s="52"/>
      <c r="X49" s="45"/>
      <c r="Y49" s="45"/>
      <c r="Z49" s="45"/>
      <c r="AA49" s="55"/>
    </row>
    <row r="50" spans="2:27" x14ac:dyDescent="0.2">
      <c r="C50" s="6"/>
      <c r="D50" s="7"/>
    </row>
    <row r="51" spans="2:27" x14ac:dyDescent="0.2">
      <c r="C51" s="6"/>
      <c r="D51" s="7"/>
    </row>
    <row r="52" spans="2:27" x14ac:dyDescent="0.2">
      <c r="C52" s="6"/>
      <c r="D52" s="7"/>
    </row>
    <row r="53" spans="2:27" x14ac:dyDescent="0.2">
      <c r="C53" s="6"/>
      <c r="D53" s="7"/>
    </row>
    <row r="54" spans="2:27" x14ac:dyDescent="0.2">
      <c r="C54" s="6"/>
      <c r="D54" s="7"/>
    </row>
    <row r="55" spans="2:27" x14ac:dyDescent="0.2">
      <c r="C55" s="6"/>
      <c r="D55" s="7"/>
    </row>
    <row r="56" spans="2:27" x14ac:dyDescent="0.2">
      <c r="C56" s="6"/>
      <c r="D56" s="7"/>
    </row>
    <row r="57" spans="2:27" x14ac:dyDescent="0.2">
      <c r="C57" s="6"/>
      <c r="D57" s="7"/>
    </row>
    <row r="58" spans="2:27" x14ac:dyDescent="0.2">
      <c r="C58" s="6"/>
      <c r="D58" s="7"/>
    </row>
    <row r="59" spans="2:27" x14ac:dyDescent="0.2">
      <c r="C59" s="6"/>
      <c r="D59" s="7"/>
    </row>
    <row r="60" spans="2:27" x14ac:dyDescent="0.2">
      <c r="C60" s="6"/>
      <c r="D60" s="7"/>
    </row>
    <row r="61" spans="2:27" x14ac:dyDescent="0.2">
      <c r="C61" s="6"/>
      <c r="D61" s="7"/>
    </row>
    <row r="62" spans="2:27" x14ac:dyDescent="0.2">
      <c r="C62" s="6"/>
      <c r="D62" s="7"/>
    </row>
    <row r="63" spans="2:27" x14ac:dyDescent="0.2">
      <c r="C63" s="6"/>
      <c r="D63" s="7"/>
    </row>
    <row r="64" spans="2:27" x14ac:dyDescent="0.2">
      <c r="C64" s="6"/>
      <c r="D64" s="7"/>
    </row>
    <row r="65" spans="3:4" x14ac:dyDescent="0.2">
      <c r="C65" s="6"/>
      <c r="D65" s="7"/>
    </row>
    <row r="66" spans="3:4" x14ac:dyDescent="0.2">
      <c r="C66" s="6"/>
      <c r="D66" s="7"/>
    </row>
    <row r="67" spans="3:4" x14ac:dyDescent="0.2">
      <c r="C67" s="6"/>
      <c r="D67" s="7"/>
    </row>
    <row r="68" spans="3:4" x14ac:dyDescent="0.2">
      <c r="C68" s="6"/>
      <c r="D68" s="7"/>
    </row>
    <row r="69" spans="3:4" x14ac:dyDescent="0.2">
      <c r="C69" s="6"/>
      <c r="D69" s="7"/>
    </row>
    <row r="70" spans="3:4" x14ac:dyDescent="0.2">
      <c r="C70" s="6"/>
      <c r="D70" s="7"/>
    </row>
    <row r="71" spans="3:4" x14ac:dyDescent="0.2">
      <c r="C71" s="6"/>
      <c r="D71" s="7"/>
    </row>
    <row r="72" spans="3:4" x14ac:dyDescent="0.2">
      <c r="C72" s="6"/>
      <c r="D72" s="7"/>
    </row>
    <row r="73" spans="3:4" x14ac:dyDescent="0.2">
      <c r="C73" s="6"/>
      <c r="D73" s="7"/>
    </row>
    <row r="74" spans="3:4" x14ac:dyDescent="0.2">
      <c r="C74" s="6"/>
      <c r="D74" s="7"/>
    </row>
    <row r="75" spans="3:4" x14ac:dyDescent="0.2">
      <c r="C75" s="6"/>
      <c r="D75" s="7"/>
    </row>
    <row r="76" spans="3:4" x14ac:dyDescent="0.2">
      <c r="C76" s="6"/>
      <c r="D76" s="7"/>
    </row>
    <row r="77" spans="3:4" x14ac:dyDescent="0.2">
      <c r="C77" s="6"/>
      <c r="D77" s="7"/>
    </row>
    <row r="78" spans="3:4" x14ac:dyDescent="0.2">
      <c r="C78" s="6"/>
      <c r="D78" s="7"/>
    </row>
    <row r="79" spans="3:4" x14ac:dyDescent="0.2">
      <c r="C79" s="6"/>
      <c r="D79" s="7"/>
    </row>
    <row r="80" spans="3:4" x14ac:dyDescent="0.2">
      <c r="C80" s="6"/>
      <c r="D80" s="7"/>
    </row>
    <row r="81" spans="3:4" x14ac:dyDescent="0.2">
      <c r="C81" s="6"/>
      <c r="D81" s="7"/>
    </row>
    <row r="82" spans="3:4" x14ac:dyDescent="0.2">
      <c r="C82" s="6"/>
      <c r="D82" s="7"/>
    </row>
    <row r="83" spans="3:4" x14ac:dyDescent="0.2">
      <c r="C83" s="6"/>
      <c r="D83" s="7"/>
    </row>
    <row r="84" spans="3:4" x14ac:dyDescent="0.2">
      <c r="C84" s="6"/>
      <c r="D84" s="7"/>
    </row>
    <row r="85" spans="3:4" x14ac:dyDescent="0.2">
      <c r="C85" s="6"/>
      <c r="D85" s="7"/>
    </row>
    <row r="86" spans="3:4" x14ac:dyDescent="0.2">
      <c r="C86" s="6"/>
      <c r="D86" s="7"/>
    </row>
    <row r="87" spans="3:4" x14ac:dyDescent="0.2">
      <c r="C87" s="6"/>
      <c r="D87" s="7"/>
    </row>
    <row r="88" spans="3:4" x14ac:dyDescent="0.2">
      <c r="C88" s="6"/>
      <c r="D88" s="7"/>
    </row>
    <row r="89" spans="3:4" x14ac:dyDescent="0.2">
      <c r="C89" s="6"/>
      <c r="D89" s="7"/>
    </row>
    <row r="90" spans="3:4" x14ac:dyDescent="0.2">
      <c r="C90" s="6"/>
      <c r="D90" s="7"/>
    </row>
    <row r="91" spans="3:4" x14ac:dyDescent="0.2">
      <c r="C91" s="6"/>
      <c r="D91" s="7"/>
    </row>
    <row r="92" spans="3:4" x14ac:dyDescent="0.2">
      <c r="C92" s="6"/>
      <c r="D92" s="7"/>
    </row>
    <row r="93" spans="3:4" x14ac:dyDescent="0.2">
      <c r="C93" s="6"/>
      <c r="D93" s="7"/>
    </row>
    <row r="94" spans="3:4" x14ac:dyDescent="0.2">
      <c r="C94" s="6"/>
      <c r="D94" s="7"/>
    </row>
    <row r="95" spans="3:4" x14ac:dyDescent="0.2">
      <c r="C95" s="6"/>
      <c r="D95" s="7"/>
    </row>
    <row r="96" spans="3:4" x14ac:dyDescent="0.2">
      <c r="C96" s="6"/>
      <c r="D96" s="7"/>
    </row>
    <row r="97" spans="3:4" x14ac:dyDescent="0.2">
      <c r="C97" s="6"/>
      <c r="D97" s="7"/>
    </row>
    <row r="98" spans="3:4" x14ac:dyDescent="0.2">
      <c r="C98" s="6"/>
      <c r="D98" s="7"/>
    </row>
    <row r="99" spans="3:4" x14ac:dyDescent="0.2">
      <c r="C99" s="6"/>
      <c r="D99" s="7"/>
    </row>
    <row r="100" spans="3:4" x14ac:dyDescent="0.2">
      <c r="C100" s="6"/>
      <c r="D100" s="7"/>
    </row>
    <row r="101" spans="3:4" x14ac:dyDescent="0.2">
      <c r="C101" s="6"/>
      <c r="D101" s="7"/>
    </row>
    <row r="102" spans="3:4" x14ac:dyDescent="0.2">
      <c r="C102" s="6"/>
      <c r="D102" s="7"/>
    </row>
    <row r="103" spans="3:4" x14ac:dyDescent="0.2">
      <c r="C103" s="6"/>
      <c r="D103" s="7"/>
    </row>
    <row r="104" spans="3:4" x14ac:dyDescent="0.2">
      <c r="C104" s="6"/>
      <c r="D104" s="7"/>
    </row>
    <row r="105" spans="3:4" x14ac:dyDescent="0.2">
      <c r="C105" s="6"/>
      <c r="D105" s="7"/>
    </row>
    <row r="106" spans="3:4" x14ac:dyDescent="0.2">
      <c r="C106" s="6"/>
      <c r="D106" s="7"/>
    </row>
    <row r="107" spans="3:4" x14ac:dyDescent="0.2">
      <c r="C107" s="6"/>
      <c r="D107" s="7"/>
    </row>
    <row r="108" spans="3:4" x14ac:dyDescent="0.2">
      <c r="C108" s="6"/>
      <c r="D108" s="7"/>
    </row>
    <row r="109" spans="3:4" x14ac:dyDescent="0.2">
      <c r="C109" s="6"/>
      <c r="D109" s="7"/>
    </row>
    <row r="110" spans="3:4" x14ac:dyDescent="0.2">
      <c r="C110" s="6"/>
      <c r="D110" s="7"/>
    </row>
    <row r="111" spans="3:4" x14ac:dyDescent="0.2">
      <c r="C111" s="6"/>
      <c r="D111" s="7"/>
    </row>
    <row r="112" spans="3:4" x14ac:dyDescent="0.2">
      <c r="C112" s="6"/>
      <c r="D112" s="7"/>
    </row>
    <row r="113" spans="3:4" x14ac:dyDescent="0.2">
      <c r="C113" s="6"/>
      <c r="D113" s="7"/>
    </row>
    <row r="114" spans="3:4" x14ac:dyDescent="0.2">
      <c r="C114" s="6"/>
      <c r="D114" s="7"/>
    </row>
    <row r="115" spans="3:4" x14ac:dyDescent="0.2">
      <c r="C115" s="6"/>
      <c r="D115" s="7"/>
    </row>
    <row r="116" spans="3:4" x14ac:dyDescent="0.2">
      <c r="C116" s="6"/>
      <c r="D116" s="7"/>
    </row>
    <row r="117" spans="3:4" x14ac:dyDescent="0.2">
      <c r="C117" s="6"/>
      <c r="D117" s="7"/>
    </row>
    <row r="118" spans="3:4" x14ac:dyDescent="0.2">
      <c r="C118" s="6"/>
      <c r="D118" s="7"/>
    </row>
    <row r="119" spans="3:4" x14ac:dyDescent="0.2">
      <c r="C119" s="6"/>
      <c r="D119" s="7"/>
    </row>
    <row r="120" spans="3:4" x14ac:dyDescent="0.2">
      <c r="C120" s="6"/>
      <c r="D120" s="7"/>
    </row>
    <row r="121" spans="3:4" x14ac:dyDescent="0.2">
      <c r="C121" s="6"/>
      <c r="D121" s="7"/>
    </row>
    <row r="122" spans="3:4" x14ac:dyDescent="0.2">
      <c r="C122" s="6"/>
      <c r="D122" s="7"/>
    </row>
    <row r="123" spans="3:4" x14ac:dyDescent="0.2">
      <c r="C123" s="6"/>
      <c r="D123" s="7"/>
    </row>
    <row r="124" spans="3:4" x14ac:dyDescent="0.2">
      <c r="C124" s="6"/>
      <c r="D124" s="7"/>
    </row>
    <row r="125" spans="3:4" x14ac:dyDescent="0.2">
      <c r="C125" s="6"/>
      <c r="D125" s="7"/>
    </row>
    <row r="126" spans="3:4" x14ac:dyDescent="0.2">
      <c r="C126" s="6"/>
      <c r="D126" s="7"/>
    </row>
    <row r="127" spans="3:4" x14ac:dyDescent="0.2">
      <c r="C127" s="6"/>
      <c r="D127" s="7"/>
    </row>
    <row r="128" spans="3:4" x14ac:dyDescent="0.2">
      <c r="C128" s="6"/>
      <c r="D128" s="7"/>
    </row>
    <row r="129" spans="3:4" x14ac:dyDescent="0.2">
      <c r="C129" s="6"/>
      <c r="D129" s="7"/>
    </row>
    <row r="130" spans="3:4" x14ac:dyDescent="0.2">
      <c r="C130" s="6"/>
      <c r="D130" s="7"/>
    </row>
    <row r="131" spans="3:4" x14ac:dyDescent="0.2">
      <c r="C131" s="6"/>
      <c r="D131" s="7"/>
    </row>
    <row r="132" spans="3:4" x14ac:dyDescent="0.2">
      <c r="C132" s="6"/>
      <c r="D132" s="7"/>
    </row>
    <row r="133" spans="3:4" x14ac:dyDescent="0.2">
      <c r="C133" s="6"/>
      <c r="D133" s="7"/>
    </row>
    <row r="134" spans="3:4" x14ac:dyDescent="0.2">
      <c r="C134" s="6"/>
      <c r="D134" s="7"/>
    </row>
    <row r="135" spans="3:4" x14ac:dyDescent="0.2">
      <c r="C135" s="6"/>
      <c r="D135" s="7"/>
    </row>
    <row r="136" spans="3:4" x14ac:dyDescent="0.2">
      <c r="C136" s="6"/>
      <c r="D136" s="7"/>
    </row>
    <row r="137" spans="3:4" x14ac:dyDescent="0.2">
      <c r="C137" s="6"/>
      <c r="D137" s="7"/>
    </row>
    <row r="138" spans="3:4" x14ac:dyDescent="0.2">
      <c r="C138" s="6"/>
      <c r="D138" s="7"/>
    </row>
    <row r="139" spans="3:4" x14ac:dyDescent="0.2">
      <c r="C139" s="6"/>
      <c r="D139" s="7"/>
    </row>
    <row r="140" spans="3:4" x14ac:dyDescent="0.2">
      <c r="C140" s="6"/>
      <c r="D140" s="7"/>
    </row>
    <row r="141" spans="3:4" x14ac:dyDescent="0.2">
      <c r="C141" s="6"/>
      <c r="D141" s="7"/>
    </row>
    <row r="142" spans="3:4" x14ac:dyDescent="0.2">
      <c r="C142" s="6"/>
      <c r="D142" s="7"/>
    </row>
    <row r="143" spans="3:4" x14ac:dyDescent="0.2">
      <c r="C143" s="6"/>
      <c r="D143" s="7"/>
    </row>
    <row r="144" spans="3:4" x14ac:dyDescent="0.2">
      <c r="C144" s="6"/>
      <c r="D144" s="7"/>
    </row>
    <row r="145" spans="3:4" x14ac:dyDescent="0.2">
      <c r="C145" s="6"/>
      <c r="D145" s="7"/>
    </row>
    <row r="146" spans="3:4" x14ac:dyDescent="0.2">
      <c r="C146" s="6"/>
      <c r="D146" s="7"/>
    </row>
    <row r="147" spans="3:4" x14ac:dyDescent="0.2">
      <c r="C147" s="6"/>
      <c r="D147" s="7"/>
    </row>
    <row r="148" spans="3:4" x14ac:dyDescent="0.2">
      <c r="C148" s="6"/>
      <c r="D148" s="7"/>
    </row>
    <row r="149" spans="3:4" x14ac:dyDescent="0.2">
      <c r="C149" s="6"/>
      <c r="D149" s="7"/>
    </row>
    <row r="150" spans="3:4" x14ac:dyDescent="0.2">
      <c r="C150" s="6"/>
      <c r="D150" s="7"/>
    </row>
    <row r="151" spans="3:4" x14ac:dyDescent="0.2">
      <c r="C151" s="6"/>
      <c r="D151" s="7"/>
    </row>
    <row r="152" spans="3:4" x14ac:dyDescent="0.2">
      <c r="C152" s="6"/>
      <c r="D152" s="7"/>
    </row>
    <row r="153" spans="3:4" x14ac:dyDescent="0.2">
      <c r="C153" s="6"/>
      <c r="D153" s="7"/>
    </row>
    <row r="154" spans="3:4" x14ac:dyDescent="0.2">
      <c r="C154" s="6"/>
      <c r="D154" s="7"/>
    </row>
    <row r="155" spans="3:4" x14ac:dyDescent="0.2">
      <c r="C155" s="6"/>
      <c r="D155" s="7"/>
    </row>
    <row r="156" spans="3:4" x14ac:dyDescent="0.2">
      <c r="C156" s="6"/>
      <c r="D156" s="7"/>
    </row>
    <row r="157" spans="3:4" x14ac:dyDescent="0.2">
      <c r="C157" s="6"/>
      <c r="D157" s="7"/>
    </row>
    <row r="158" spans="3:4" x14ac:dyDescent="0.2">
      <c r="C158" s="6"/>
      <c r="D158" s="7"/>
    </row>
    <row r="159" spans="3:4" x14ac:dyDescent="0.2">
      <c r="C159" s="6"/>
      <c r="D159" s="7"/>
    </row>
    <row r="160" spans="3:4" x14ac:dyDescent="0.2">
      <c r="C160" s="6"/>
      <c r="D160" s="7"/>
    </row>
    <row r="161" spans="3:4" x14ac:dyDescent="0.2">
      <c r="C161" s="6"/>
      <c r="D161" s="7"/>
    </row>
    <row r="162" spans="3:4" x14ac:dyDescent="0.2">
      <c r="C162" s="6"/>
      <c r="D162" s="7"/>
    </row>
    <row r="163" spans="3:4" x14ac:dyDescent="0.2">
      <c r="C163" s="6"/>
      <c r="D163" s="7"/>
    </row>
    <row r="164" spans="3:4" x14ac:dyDescent="0.2">
      <c r="C164" s="6"/>
      <c r="D164" s="7"/>
    </row>
    <row r="165" spans="3:4" x14ac:dyDescent="0.2">
      <c r="C165" s="6"/>
      <c r="D165" s="7"/>
    </row>
    <row r="166" spans="3:4" x14ac:dyDescent="0.2">
      <c r="C166" s="6"/>
      <c r="D166" s="7"/>
    </row>
    <row r="167" spans="3:4" x14ac:dyDescent="0.2">
      <c r="C167" s="6"/>
      <c r="D167" s="7"/>
    </row>
    <row r="168" spans="3:4" x14ac:dyDescent="0.2">
      <c r="C168" s="6"/>
      <c r="D168" s="7"/>
    </row>
    <row r="169" spans="3:4" x14ac:dyDescent="0.2">
      <c r="C169" s="6"/>
      <c r="D169" s="7"/>
    </row>
    <row r="170" spans="3:4" x14ac:dyDescent="0.2">
      <c r="C170" s="6"/>
      <c r="D170" s="7"/>
    </row>
    <row r="171" spans="3:4" x14ac:dyDescent="0.2">
      <c r="C171" s="6"/>
      <c r="D171" s="7"/>
    </row>
    <row r="172" spans="3:4" x14ac:dyDescent="0.2">
      <c r="C172" s="6"/>
      <c r="D172" s="7"/>
    </row>
    <row r="173" spans="3:4" x14ac:dyDescent="0.2">
      <c r="C173" s="6"/>
      <c r="D173" s="7"/>
    </row>
    <row r="174" spans="3:4" x14ac:dyDescent="0.2">
      <c r="C174" s="6"/>
      <c r="D174" s="7"/>
    </row>
    <row r="175" spans="3:4" x14ac:dyDescent="0.2">
      <c r="C175" s="6"/>
      <c r="D175" s="7"/>
    </row>
    <row r="176" spans="3:4" x14ac:dyDescent="0.2">
      <c r="C176" s="6"/>
      <c r="D176" s="7"/>
    </row>
    <row r="177" spans="3:4" x14ac:dyDescent="0.2">
      <c r="C177" s="6"/>
      <c r="D177" s="7"/>
    </row>
    <row r="178" spans="3:4" x14ac:dyDescent="0.2">
      <c r="C178" s="6"/>
      <c r="D178" s="7"/>
    </row>
    <row r="179" spans="3:4" x14ac:dyDescent="0.2">
      <c r="C179" s="6"/>
      <c r="D179" s="7"/>
    </row>
    <row r="180" spans="3:4" x14ac:dyDescent="0.2">
      <c r="C180" s="6"/>
      <c r="D180" s="7"/>
    </row>
    <row r="181" spans="3:4" x14ac:dyDescent="0.2">
      <c r="C181" s="6"/>
      <c r="D181" s="7"/>
    </row>
    <row r="182" spans="3:4" x14ac:dyDescent="0.2">
      <c r="C182" s="6"/>
      <c r="D182" s="7"/>
    </row>
    <row r="183" spans="3:4" x14ac:dyDescent="0.2">
      <c r="C183" s="6"/>
      <c r="D183" s="7"/>
    </row>
    <row r="184" spans="3:4" x14ac:dyDescent="0.2">
      <c r="C184" s="6"/>
      <c r="D184" s="7"/>
    </row>
    <row r="185" spans="3:4" x14ac:dyDescent="0.2">
      <c r="C185" s="6"/>
      <c r="D185" s="7"/>
    </row>
    <row r="186" spans="3:4" x14ac:dyDescent="0.2">
      <c r="C186" s="6"/>
      <c r="D186" s="7"/>
    </row>
    <row r="187" spans="3:4" x14ac:dyDescent="0.2">
      <c r="C187" s="6"/>
      <c r="D187" s="7"/>
    </row>
    <row r="188" spans="3:4" x14ac:dyDescent="0.2">
      <c r="C188" s="6"/>
      <c r="D188" s="7"/>
    </row>
    <row r="189" spans="3:4" x14ac:dyDescent="0.2">
      <c r="C189" s="6"/>
      <c r="D189" s="7"/>
    </row>
    <row r="190" spans="3:4" x14ac:dyDescent="0.2">
      <c r="C190" s="6"/>
      <c r="D190" s="7"/>
    </row>
    <row r="191" spans="3:4" x14ac:dyDescent="0.2">
      <c r="C191" s="6"/>
      <c r="D191" s="7"/>
    </row>
    <row r="192" spans="3:4" x14ac:dyDescent="0.2">
      <c r="C192" s="6"/>
      <c r="D192" s="7"/>
    </row>
    <row r="193" spans="3:4" x14ac:dyDescent="0.2">
      <c r="C193" s="6"/>
      <c r="D193" s="7"/>
    </row>
    <row r="194" spans="3:4" x14ac:dyDescent="0.2">
      <c r="C194" s="6"/>
      <c r="D194" s="7"/>
    </row>
    <row r="195" spans="3:4" x14ac:dyDescent="0.2">
      <c r="C195" s="6"/>
      <c r="D195" s="7"/>
    </row>
    <row r="196" spans="3:4" x14ac:dyDescent="0.2">
      <c r="C196" s="6"/>
      <c r="D196" s="7"/>
    </row>
    <row r="197" spans="3:4" x14ac:dyDescent="0.2">
      <c r="C197" s="6"/>
      <c r="D197" s="7"/>
    </row>
    <row r="198" spans="3:4" x14ac:dyDescent="0.2">
      <c r="C198" s="6"/>
      <c r="D198" s="7"/>
    </row>
    <row r="199" spans="3:4" x14ac:dyDescent="0.2">
      <c r="C199" s="6"/>
      <c r="D199" s="7"/>
    </row>
    <row r="200" spans="3:4" x14ac:dyDescent="0.2">
      <c r="C200" s="6"/>
      <c r="D200" s="7"/>
    </row>
    <row r="201" spans="3:4" x14ac:dyDescent="0.2">
      <c r="C201" s="6"/>
      <c r="D201" s="7"/>
    </row>
    <row r="202" spans="3:4" x14ac:dyDescent="0.2">
      <c r="C202" s="6"/>
      <c r="D202" s="7"/>
    </row>
    <row r="203" spans="3:4" x14ac:dyDescent="0.2">
      <c r="C203" s="6"/>
      <c r="D203" s="7"/>
    </row>
    <row r="204" spans="3:4" x14ac:dyDescent="0.2">
      <c r="C204" s="6"/>
      <c r="D204" s="7"/>
    </row>
    <row r="205" spans="3:4" x14ac:dyDescent="0.2">
      <c r="C205" s="6"/>
      <c r="D205" s="7"/>
    </row>
    <row r="206" spans="3:4" x14ac:dyDescent="0.2">
      <c r="C206" s="6"/>
      <c r="D206" s="7"/>
    </row>
    <row r="207" spans="3:4" x14ac:dyDescent="0.2">
      <c r="C207" s="6"/>
      <c r="D207" s="7"/>
    </row>
    <row r="208" spans="3:4" x14ac:dyDescent="0.2">
      <c r="C208" s="6"/>
      <c r="D208" s="7"/>
    </row>
    <row r="209" spans="3:4" x14ac:dyDescent="0.2">
      <c r="C209" s="6"/>
      <c r="D209" s="7"/>
    </row>
    <row r="210" spans="3:4" x14ac:dyDescent="0.2">
      <c r="C210" s="6"/>
      <c r="D210" s="7"/>
    </row>
    <row r="211" spans="3:4" x14ac:dyDescent="0.2">
      <c r="C211" s="6"/>
      <c r="D211" s="7"/>
    </row>
    <row r="212" spans="3:4" x14ac:dyDescent="0.2">
      <c r="C212" s="6"/>
      <c r="D212" s="7"/>
    </row>
    <row r="213" spans="3:4" x14ac:dyDescent="0.2">
      <c r="C213" s="6"/>
      <c r="D213" s="7"/>
    </row>
    <row r="214" spans="3:4" x14ac:dyDescent="0.2">
      <c r="C214" s="6"/>
      <c r="D214" s="7"/>
    </row>
  </sheetData>
  <mergeCells count="32">
    <mergeCell ref="X13:Z13"/>
    <mergeCell ref="E2:F2"/>
    <mergeCell ref="E4:H4"/>
    <mergeCell ref="I4:L4"/>
    <mergeCell ref="M4:O4"/>
    <mergeCell ref="R5:W5"/>
    <mergeCell ref="X5:Z5"/>
    <mergeCell ref="X6:Z6"/>
    <mergeCell ref="X7:Z7"/>
    <mergeCell ref="X8:Z8"/>
    <mergeCell ref="X9:Z9"/>
    <mergeCell ref="X10:Z10"/>
    <mergeCell ref="X29:Z29"/>
    <mergeCell ref="X14:Z14"/>
    <mergeCell ref="X15:Z15"/>
    <mergeCell ref="X16:Z16"/>
    <mergeCell ref="X17:Z17"/>
    <mergeCell ref="X20:Z20"/>
    <mergeCell ref="X21:Z21"/>
    <mergeCell ref="X22:Z22"/>
    <mergeCell ref="X23:Z23"/>
    <mergeCell ref="X24:Z24"/>
    <mergeCell ref="X27:Z27"/>
    <mergeCell ref="X28:Z28"/>
    <mergeCell ref="X38:Z38"/>
    <mergeCell ref="R39:W39"/>
    <mergeCell ref="X30:Z30"/>
    <mergeCell ref="X31:Z31"/>
    <mergeCell ref="X34:Z34"/>
    <mergeCell ref="X35:Z35"/>
    <mergeCell ref="X36:Z36"/>
    <mergeCell ref="X37:Z37"/>
  </mergeCells>
  <conditionalFormatting sqref="C6:C38">
    <cfRule type="expression" dxfId="7" priority="6">
      <formula>C6=TODAY()</formula>
    </cfRule>
    <cfRule type="expression" dxfId="6" priority="7">
      <formula>MOD(ROW(),2)</formula>
    </cfRule>
    <cfRule type="expression" dxfId="5" priority="8">
      <formula>C6&lt;TODAY()</formula>
    </cfRule>
  </conditionalFormatting>
  <conditionalFormatting sqref="C6:Q38">
    <cfRule type="expression" dxfId="4" priority="5">
      <formula>MOD(ROW(),2)</formula>
    </cfRule>
  </conditionalFormatting>
  <conditionalFormatting sqref="F48">
    <cfRule type="expression" dxfId="3" priority="1">
      <formula>F48="OK"</formula>
    </cfRule>
    <cfRule type="expression" dxfId="2" priority="2">
      <formula>F48="PAS OK"</formula>
    </cfRule>
  </conditionalFormatting>
  <conditionalFormatting sqref="Q6:Q38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  <pageSetup paperSize="9" scale="70" fitToHeight="0" orientation="landscape" r:id="rId1"/>
  <headerFooter>
    <oddHeader xml:space="preserve">&amp;CHeures mois d'Août
</oddHeader>
    <oddFooter>&amp;Lsrg | engineering&amp;CAout 2024
&amp;F&amp;R 51 - 5100 |HuJ
 &amp;P/&amp;N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90AC7A-F2F0-4D31-B4D0-449647E229BC}">
          <x14:formula1>
            <xm:f>Chantier!$B:$B</xm:f>
          </x14:formula1>
          <xm:sqref>D41:D46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AAF9A1F3355040A1E42685CE5F58CF" ma:contentTypeVersion="11" ma:contentTypeDescription="Crée un document." ma:contentTypeScope="" ma:versionID="a1d1b87a03899bc369bc4add41d8722e">
  <xsd:schema xmlns:xsd="http://www.w3.org/2001/XMLSchema" xmlns:xs="http://www.w3.org/2001/XMLSchema" xmlns:p="http://schemas.microsoft.com/office/2006/metadata/properties" xmlns:ns3="a9895a4f-caee-4a74-aaa9-e77750ce9cab" xmlns:ns4="cfa00159-5b61-44ac-9e62-8ec86f5ee6ab" targetNamespace="http://schemas.microsoft.com/office/2006/metadata/properties" ma:root="true" ma:fieldsID="bacddf809349756c93b45c78dd2e1101" ns3:_="" ns4:_="">
    <xsd:import namespace="a9895a4f-caee-4a74-aaa9-e77750ce9cab"/>
    <xsd:import namespace="cfa00159-5b61-44ac-9e62-8ec86f5ee6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895a4f-caee-4a74-aaa9-e77750ce9c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a00159-5b61-44ac-9e62-8ec86f5ee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scriptIds xmlns="http://schemas.microsoft.com/office/extensibility/maker/v1.0" id="script-ids-node-id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895a4f-caee-4a74-aaa9-e77750ce9cab" xsi:nil="true"/>
  </documentManagement>
</p:properties>
</file>

<file path=customXml/itemProps1.xml><?xml version="1.0" encoding="utf-8"?>
<ds:datastoreItem xmlns:ds="http://schemas.openxmlformats.org/officeDocument/2006/customXml" ds:itemID="{D37B8EAE-5A8E-4DAC-A65D-0DA5D03485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895a4f-caee-4a74-aaa9-e77750ce9cab"/>
    <ds:schemaRef ds:uri="cfa00159-5b61-44ac-9e62-8ec86f5ee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3D1503-CE4A-433D-BB96-195C69E947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3FC226-C56F-4D90-9E26-5914099AA700}">
  <ds:schemaRefs>
    <ds:schemaRef ds:uri="http://schemas.microsoft.com/office/extensibility/maker/v1.0"/>
  </ds:schemaRefs>
</ds:datastoreItem>
</file>

<file path=customXml/itemProps4.xml><?xml version="1.0" encoding="utf-8"?>
<ds:datastoreItem xmlns:ds="http://schemas.openxmlformats.org/officeDocument/2006/customXml" ds:itemID="{8AC3E4DE-BDC7-413A-8FB5-C33D86AB11AA}">
  <ds:schemaRefs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a9895a4f-caee-4a74-aaa9-e77750ce9cab"/>
    <ds:schemaRef ds:uri="http://purl.org/dc/dcmitype/"/>
    <ds:schemaRef ds:uri="http://schemas.openxmlformats.org/package/2006/metadata/core-properties"/>
    <ds:schemaRef ds:uri="cfa00159-5b61-44ac-9e62-8ec86f5ee6ab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Chantier</vt:lpstr>
      <vt:lpstr>Mars</vt:lpstr>
      <vt:lpstr>Mars!Zone_d_impression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Julien Hurter</dc:creator>
  <cp:keywords/>
  <dc:description/>
  <cp:lastModifiedBy>Julien Hurter</cp:lastModifiedBy>
  <cp:revision/>
  <dcterms:created xsi:type="dcterms:W3CDTF">2020-10-01T13:32:34Z</dcterms:created>
  <dcterms:modified xsi:type="dcterms:W3CDTF">2026-04-07T13:25:29Z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0x010100BBAAF9A1F3355040A1E42685CE5F58CF</vt:lpwstr>
  </property>
</Properties>
</file>